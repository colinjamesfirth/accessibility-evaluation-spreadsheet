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8"/>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8_{F90FE041-CC83-794F-89BB-2FFFA24A3A3B}" xr6:coauthVersionLast="47" xr6:coauthVersionMax="47" xr10:uidLastSave="{00000000-0000-0000-0000-000000000000}"/>
  <bookViews>
    <workbookView xWindow="8280" yWindow="500" windowWidth="42540" windowHeight="27160" xr2:uid="{4EF91C4A-BDEF-F641-86DE-AE4A00C4164F}"/>
  </bookViews>
  <sheets>
    <sheet name="Summary" sheetId="3" r:id="rId1"/>
    <sheet name="Preliminary" sheetId="1" r:id="rId2"/>
    <sheet name="WCAG-EM (2.1)" sheetId="2" r:id="rId3"/>
    <sheet name="(data)" sheetId="4" state="hidden" r:id="rId4"/>
  </sheets>
  <definedNames>
    <definedName name="_xlnm._FilterDatabase" localSheetId="1" hidden="1">Preliminary!$A$6:$E$50</definedName>
    <definedName name="_xlnm._FilterDatabase" localSheetId="2" hidden="1">'WCAG-EM (2.1)'!$B$6:$G$84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 i="3" l="1"/>
  <c r="B20" i="3"/>
  <c r="C21" i="3"/>
  <c r="E21" i="3"/>
  <c r="D21" i="3"/>
  <c r="C20" i="3"/>
  <c r="E20" i="3"/>
  <c r="D20" i="3"/>
  <c r="E19" i="3"/>
  <c r="D19" i="3"/>
  <c r="C19" i="3"/>
  <c r="B19" i="3"/>
  <c r="E18" i="3"/>
  <c r="D18" i="3"/>
  <c r="C18" i="3"/>
  <c r="B18" i="3"/>
  <c r="D22" i="3"/>
  <c r="D17" i="3"/>
  <c r="C22" i="3"/>
  <c r="C17" i="3"/>
  <c r="E22" i="3"/>
  <c r="E17" i="3"/>
  <c r="B22" i="3"/>
  <c r="B17" i="3"/>
</calcChain>
</file>

<file path=xl/sharedStrings.xml><?xml version="1.0" encoding="utf-8"?>
<sst xmlns="http://schemas.openxmlformats.org/spreadsheetml/2006/main" count="405" uniqueCount="196">
  <si>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</si>
  <si>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</si>
  <si>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</si>
  <si>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</si>
  <si>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</si>
  <si>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</si>
  <si>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</si>
  <si>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</si>
  <si>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</si>
  <si>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</si>
  <si>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</si>
  <si>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</si>
  <si>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</si>
  <si>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</si>
  <si>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</si>
  <si>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</si>
  <si>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</si>
  <si>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</si>
  <si>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</si>
  <si>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</si>
  <si>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</si>
  <si>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</si>
  <si>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</si>
  <si>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</si>
  <si>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</si>
  <si>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</si>
  <si>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</si>
  <si>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</si>
  <si>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</si>
  <si>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</si>
  <si>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</si>
  <si>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</si>
  <si>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</si>
  <si>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</si>
  <si>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</si>
  <si>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</si>
  <si>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</si>
  <si>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</si>
  <si>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</si>
  <si>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</si>
  <si>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</si>
  <si>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</si>
  <si>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</si>
  <si>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</si>
  <si>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</si>
  <si>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</si>
  <si>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</si>
  <si>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</si>
  <si>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</si>
  <si>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</si>
  <si>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</si>
  <si>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</si>
  <si>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</si>
  <si>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</si>
  <si>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</si>
  <si>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</si>
  <si>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</si>
  <si>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</si>
  <si>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</si>
  <si>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</si>
  <si>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</si>
  <si>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</si>
  <si>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</si>
  <si>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</si>
  <si>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</si>
  <si>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</si>
  <si>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</si>
  <si>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</si>
  <si>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</si>
  <si>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</si>
  <si>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</si>
  <si>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</si>
  <si>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</si>
  <si>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</si>
  <si>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</si>
  <si>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</si>
  <si>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</si>
  <si>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</si>
  <si>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</si>
  <si>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</si>
  <si>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</si>
  <si>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</si>
  <si>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</si>
  <si>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</si>
  <si>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</si>
  <si>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</si>
  <si>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</si>
  <si>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</si>
  <si>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</si>
  <si>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</si>
  <si>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</si>
  <si>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</si>
  <si>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</si>
  <si>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</si>
  <si>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</si>
  <si>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</si>
  <si>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</si>
  <si>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</si>
  <si>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</si>
  <si>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Not present</t>
  </si>
  <si>
    <t>Cannot tell</t>
  </si>
  <si>
    <t>LIST OF RESULT OPTIONS</t>
  </si>
  <si>
    <t>WCAG 2.1 Success Criteria</t>
  </si>
  <si>
    <t>Guideline</t>
  </si>
  <si>
    <t>1 – Perceivable</t>
  </si>
  <si>
    <t>2 – Operable</t>
  </si>
  <si>
    <t>3 – Understandable</t>
  </si>
  <si>
    <t>4 – Robust</t>
  </si>
  <si>
    <t>Check</t>
  </si>
  <si>
    <t>Preliminary checks</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</si>
  <si>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</si>
  <si>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</si>
  <si>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</si>
  <si>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</si>
  <si>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</si>
  <si>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</si>
  <si>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</si>
  <si>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</si>
  <si>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</si>
  <si>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</si>
  <si>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</si>
  <si>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</si>
  <si>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</si>
  <si>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</si>
  <si>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</si>
  <si>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</si>
  <si>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</si>
  <si>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</si>
  <si>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</si>
  <si>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</si>
  <si>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</si>
  <si>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</si>
  <si>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</si>
  <si>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</si>
  <si>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</si>
  <si>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</si>
  <si>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</si>
  <si>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</si>
  <si>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</si>
  <si>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</si>
  <si>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</si>
  <si>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</si>
  <si>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</si>
  <si>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</si>
  <si>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</si>
  <si>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</si>
  <si>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</si>
  <si>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</si>
  <si>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</si>
  <si>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</si>
  <si>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</si>
  <si>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</si>
  <si>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</si>
  <si>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</si>
  <si>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</si>
  <si>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</si>
  <si>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</si>
  <si>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</si>
  <si>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</si>
  <si>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</si>
  <si>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</si>
  <si>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</si>
  <si>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</si>
  <si>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</si>
  <si>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</si>
  <si>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</si>
  <si>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</si>
  <si>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</si>
  <si>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</si>
  <si>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</si>
  <si>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</si>
  <si>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</si>
  <si>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</si>
  <si>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</si>
  <si>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</si>
  <si>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</si>
  <si>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</si>
  <si>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</si>
  <si>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</si>
  <si>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</si>
  <si>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</si>
  <si>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</si>
  <si>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1.4.12 Text Spacing</t>
  </si>
  <si>
    <t>3.3.3 Error Suggestion</t>
  </si>
  <si>
    <t>1.2.7 Extended Audio Description (Prerecorded)</t>
  </si>
  <si>
    <t>–</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</si>
  <si>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</si>
  <si>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Conforms</t>
  </si>
  <si>
    <t>Does not conform</t>
  </si>
  <si>
    <t>Partially conforms</t>
  </si>
  <si>
    <t>Recommendations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</si>
  <si>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</si>
  <si>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Report for (ICT system)</t>
  </si>
  <si>
    <t>Evaluation date</t>
  </si>
  <si>
    <t>Summary of observations 
and recommendations</t>
  </si>
  <si>
    <t>Version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</si>
</sst>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7"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ck">
        <color rgb="FF005A9C"/>
      </top>
      <bottom style="thin">
        <color theme="2" tint="-0.249977111117893"/>
      </bottom>
      <diagonal/>
    </border>
    <border>
      <left/>
      <right/>
      <top/>
      <bottom style="thin">
        <color theme="2" tint="-0.249977111117893"/>
      </bottom>
      <diagonal/>
    </border>
    <border>
      <left/>
      <right/>
      <top style="thin">
        <color theme="2" tint="-0.249977111117893"/>
      </top>
      <bottom style="thick">
        <color rgb="FF005A9C"/>
      </bottom>
      <diagonal/>
    </border>
    <border>
      <left/>
      <right/>
      <top style="thin">
        <color theme="2" tint="-0.249977111117893"/>
      </top>
      <bottom style="thin">
        <color theme="2" tint="-0.249977111117893"/>
      </bottom>
      <diagonal/>
    </border>
    <border>
      <left style="thick">
        <color rgb="FF005A9C"/>
      </left>
      <right style="thin">
        <color theme="2" tint="-0.249977111117893"/>
      </right>
      <top style="thick">
        <color rgb="FF005A9C"/>
      </top>
      <bottom style="thin">
        <color theme="0" tint="-0.24994659260841701"/>
      </bottom>
      <diagonal/>
    </border>
    <border>
      <left style="thick">
        <color rgb="FF005A9C"/>
      </left>
      <right style="thin">
        <color theme="2" tint="-0.249977111117893"/>
      </right>
      <top style="thin">
        <color theme="0" tint="-0.24994659260841701"/>
      </top>
      <bottom style="thin">
        <color theme="0" tint="-0.24994659260841701"/>
      </bottom>
      <diagonal/>
    </border>
  </borders>
  <cellStyleXfs count="2">
    <xf numFmtId="0" fontId="0" fillId="0" borderId="0"/>
    <xf numFmtId="0" fontId="2" fillId="0" borderId="0" applyNumberFormat="0" applyFill="0" applyBorder="0" applyAlignment="0" applyProtection="0"/>
  </cellStyleXfs>
  <cellXfs count="100">
    <xf numFmtId="0" fontId="0" fillId="0" borderId="0" xfId="0"/>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4" fillId="4" borderId="0" xfId="0" applyFont="1" applyFill="1" applyBorder="1" applyAlignment="1">
      <alignment wrapText="1"/>
    </xf>
    <xf numFmtId="0" fontId="5" fillId="4" borderId="0" xfId="0" applyFont="1" applyFill="1" applyBorder="1" applyAlignment="1">
      <alignment wrapText="1"/>
    </xf>
    <xf numFmtId="0" fontId="4" fillId="4" borderId="0" xfId="0" applyFont="1" applyFill="1" applyAlignment="1" applyProtection="1">
      <alignment vertical="center" wrapText="1"/>
    </xf>
    <xf numFmtId="0" fontId="5" fillId="4" borderId="0" xfId="0" applyFont="1" applyFill="1" applyAlignment="1" applyProtection="1">
      <alignment vertical="top" wrapText="1"/>
    </xf>
    <xf numFmtId="0" fontId="6" fillId="4" borderId="0" xfId="0" applyFont="1" applyFill="1" applyBorder="1" applyAlignment="1" applyProtection="1">
      <alignment wrapText="1"/>
    </xf>
    <xf numFmtId="0" fontId="5" fillId="4" borderId="0" xfId="0" applyFont="1" applyFill="1" applyAlignment="1" applyProtection="1">
      <alignment wrapText="1"/>
    </xf>
    <xf numFmtId="0" fontId="1" fillId="4" borderId="6" xfId="0" applyFont="1" applyFill="1" applyBorder="1" applyAlignment="1" applyProtection="1">
      <alignment horizontal="left" vertical="center" wrapText="1"/>
      <protection locked="0"/>
    </xf>
    <xf numFmtId="0" fontId="1" fillId="4" borderId="8" xfId="0" applyFont="1" applyFill="1" applyBorder="1" applyAlignment="1" applyProtection="1">
      <alignment horizontal="left" vertical="center" wrapText="1"/>
      <protection locked="0"/>
    </xf>
    <xf numFmtId="0" fontId="1" fillId="4" borderId="10" xfId="0" applyFont="1" applyFill="1" applyBorder="1" applyAlignment="1" applyProtection="1">
      <alignment horizontal="left" vertical="center" wrapText="1"/>
      <protection locked="0"/>
    </xf>
    <xf numFmtId="0" fontId="5" fillId="4" borderId="0" xfId="0" applyFont="1" applyFill="1" applyBorder="1" applyAlignment="1" applyProtection="1">
      <alignment horizontal="left"/>
    </xf>
    <xf numFmtId="0" fontId="5" fillId="4" borderId="0" xfId="0" applyFont="1" applyFill="1" applyBorder="1" applyAlignment="1" applyProtection="1"/>
    <xf numFmtId="0" fontId="5" fillId="4" borderId="0" xfId="0" applyFont="1" applyFill="1" applyBorder="1" applyAlignment="1" applyProtection="1">
      <alignment horizontal="left" vertical="center"/>
    </xf>
    <xf numFmtId="0" fontId="5" fillId="4" borderId="0" xfId="0" applyFont="1" applyFill="1" applyBorder="1" applyAlignment="1" applyProtection="1">
      <alignment vertical="center"/>
    </xf>
    <xf numFmtId="0" fontId="5" fillId="9" borderId="1" xfId="0" applyFont="1" applyFill="1" applyBorder="1" applyAlignment="1">
      <alignment horizontal="center" vertical="center" wrapText="1"/>
    </xf>
    <xf numFmtId="0" fontId="1" fillId="4" borderId="22" xfId="0" applyFont="1" applyFill="1" applyBorder="1" applyAlignment="1" applyProtection="1">
      <alignment vertical="center" wrapText="1"/>
      <protection locked="0"/>
    </xf>
    <xf numFmtId="0" fontId="1" fillId="4" borderId="23" xfId="0" applyFont="1" applyFill="1" applyBorder="1" applyAlignment="1" applyProtection="1">
      <alignment vertical="center" wrapText="1"/>
      <protection locked="0"/>
    </xf>
    <xf numFmtId="0" fontId="1" fillId="4" borderId="24" xfId="0" applyFont="1" applyFill="1" applyBorder="1" applyAlignment="1" applyProtection="1">
      <alignment vertical="center" wrapText="1"/>
      <protection locked="0"/>
    </xf>
    <xf numFmtId="0" fontId="1" fillId="4" borderId="25" xfId="0" applyFont="1" applyFill="1" applyBorder="1" applyAlignment="1" applyProtection="1">
      <alignment vertical="center" wrapText="1"/>
      <protection locked="0"/>
    </xf>
    <xf numFmtId="0" fontId="1" fillId="4" borderId="0" xfId="0" applyFont="1" applyFill="1" applyBorder="1" applyAlignment="1">
      <alignment horizontal="left" vertical="top" wrapText="1" indent="2"/>
    </xf>
    <xf numFmtId="0" fontId="5" fillId="4" borderId="23" xfId="0" applyFont="1" applyFill="1" applyBorder="1" applyAlignment="1">
      <alignment vertical="top" wrapText="1"/>
    </xf>
    <xf numFmtId="0" fontId="1" fillId="4" borderId="26" xfId="0" applyFont="1" applyFill="1" applyBorder="1" applyAlignment="1" applyProtection="1">
      <alignment vertical="center" wrapText="1"/>
      <protection locked="0"/>
    </xf>
    <xf numFmtId="0" fontId="1" fillId="4" borderId="27" xfId="0" applyFont="1" applyFill="1" applyBorder="1" applyAlignment="1" applyProtection="1">
      <alignment vertical="center" wrapText="1"/>
      <protection locked="0"/>
    </xf>
    <xf numFmtId="0" fontId="6" fillId="4" borderId="0" xfId="0" applyFont="1" applyFill="1" applyAlignment="1">
      <alignment horizontal="left" vertical="center" wrapText="1" indent="2"/>
    </xf>
    <xf numFmtId="0" fontId="12" fillId="2" borderId="0" xfId="0" applyFont="1" applyFill="1" applyAlignment="1">
      <alignment horizontal="left" indent="2"/>
    </xf>
    <xf numFmtId="0" fontId="5" fillId="4" borderId="13" xfId="0" applyFont="1" applyFill="1" applyBorder="1" applyAlignment="1" applyProtection="1">
      <alignment horizontal="left" vertical="center" wrapText="1" indent="2"/>
      <protection locked="0"/>
    </xf>
    <xf numFmtId="0" fontId="5" fillId="4" borderId="18" xfId="0" applyFont="1" applyFill="1" applyBorder="1" applyAlignment="1" applyProtection="1">
      <alignment horizontal="left" vertical="center" wrapText="1" indent="2"/>
      <protection locked="0"/>
    </xf>
    <xf numFmtId="0" fontId="5" fillId="4" borderId="14" xfId="0" applyFont="1" applyFill="1" applyBorder="1" applyAlignment="1" applyProtection="1">
      <alignment horizontal="left" vertical="center" wrapText="1"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wrapText="1" indent="2"/>
      <protection locked="0"/>
    </xf>
    <xf numFmtId="0" fontId="5" fillId="4" borderId="17" xfId="0" applyFont="1" applyFill="1" applyBorder="1" applyAlignment="1" applyProtection="1">
      <alignment horizontal="left" vertical="center" wrapText="1" indent="2"/>
      <protection locked="0"/>
    </xf>
    <xf numFmtId="0" fontId="5" fillId="4" borderId="12" xfId="0" applyFont="1" applyFill="1" applyBorder="1" applyAlignment="1" applyProtection="1">
      <alignment horizontal="left" vertical="center" wrapText="1" indent="2"/>
      <protection locked="0"/>
    </xf>
    <xf numFmtId="0" fontId="6" fillId="2" borderId="1"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0" xfId="0" applyFont="1" applyFill="1" applyBorder="1" applyAlignment="1">
      <alignment horizontal="center" vertical="center"/>
    </xf>
    <xf numFmtId="0" fontId="5" fillId="4" borderId="15" xfId="0" applyFont="1" applyFill="1" applyBorder="1" applyAlignment="1" applyProtection="1">
      <alignment horizontal="left" vertical="center" wrapText="1" indent="2"/>
      <protection locked="0"/>
    </xf>
    <xf numFmtId="0" fontId="5" fillId="4" borderId="19" xfId="0" applyFont="1" applyFill="1" applyBorder="1" applyAlignment="1" applyProtection="1">
      <alignment horizontal="left" vertical="center" wrapText="1" indent="2"/>
      <protection locked="0"/>
    </xf>
    <xf numFmtId="0" fontId="5" fillId="4" borderId="16" xfId="0" applyFont="1" applyFill="1" applyBorder="1" applyAlignment="1" applyProtection="1">
      <alignment horizontal="left" vertical="center" wrapText="1" indent="2"/>
      <protection locked="0"/>
    </xf>
    <xf numFmtId="49" fontId="5" fillId="4" borderId="0" xfId="0" applyNumberFormat="1" applyFont="1" applyFill="1" applyBorder="1" applyAlignment="1" applyProtection="1">
      <alignment horizontal="left" vertical="top" wrapText="1"/>
    </xf>
    <xf numFmtId="0" fontId="14" fillId="3" borderId="2" xfId="1" applyFont="1" applyFill="1" applyBorder="1" applyAlignment="1">
      <alignment vertical="top" wrapText="1"/>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 fillId="0" borderId="0" xfId="0" applyFont="1" applyAlignment="1">
      <alignment horizontal="left" vertical="top" wrapText="1" indent="2"/>
    </xf>
    <xf numFmtId="0" fontId="1" fillId="4" borderId="0" xfId="0" applyFont="1" applyFill="1" applyAlignment="1">
      <alignment horizontal="left" vertical="top" wrapText="1" indent="2"/>
    </xf>
    <xf numFmtId="0" fontId="5" fillId="4" borderId="0" xfId="0" applyFont="1" applyFill="1" applyBorder="1" applyAlignment="1" applyProtection="1">
      <alignment horizontal="left" vertical="top"/>
    </xf>
    <xf numFmtId="0" fontId="10" fillId="3" borderId="2" xfId="0" applyFont="1" applyFill="1" applyBorder="1" applyAlignment="1">
      <alignment vertical="top"/>
    </xf>
    <xf numFmtId="0" fontId="9" fillId="2" borderId="2" xfId="0" applyFont="1" applyFill="1" applyBorder="1" applyAlignment="1">
      <alignment vertical="top"/>
    </xf>
  </cellXfs>
  <cellStyles count="2">
    <cellStyle name="Hyperlink" xfId="1" builtinId="8"/>
    <cellStyle name="Normal" xfId="0" builtinId="0"/>
  </cellStyles>
  <dxfs count="13">
    <dxf>
      <fill>
        <patternFill>
          <bgColor theme="5" tint="0.79998168889431442"/>
        </patternFill>
      </fill>
    </dxf>
    <dxf>
      <fill>
        <patternFill>
          <bgColor rgb="FFF7DBE0"/>
        </patternFill>
      </fill>
    </dxf>
    <dxf>
      <fill>
        <patternFill>
          <bgColor rgb="FFDAED89"/>
        </patternFill>
      </fill>
    </dxf>
    <dxf>
      <fill>
        <patternFill>
          <bgColor rgb="FFE0F0FA"/>
        </patternFill>
      </fill>
    </dxf>
    <dxf>
      <fill>
        <patternFill>
          <bgColor rgb="FFE0F0FA"/>
        </patternFill>
      </fill>
    </dxf>
    <dxf>
      <fill>
        <patternFill>
          <bgColor theme="5" tint="0.79998168889431442"/>
        </patternFill>
      </fill>
    </dxf>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DAED89"/>
        </patternFill>
      </fill>
    </dxf>
    <dxf>
      <fill>
        <patternFill>
          <bgColor rgb="FFDAED89"/>
        </patternFill>
      </fill>
    </dxf>
    <dxf>
      <font>
        <color auto="1"/>
      </font>
      <fill>
        <patternFill>
          <bgColor rgb="FFDAED89"/>
        </patternFill>
      </fill>
    </dxf>
  </dxfs>
  <tableStyles count="0" defaultTableStyle="TableStyleMedium2" defaultPivotStyle="PivotStyleLight16"/>
  <colors>
    <mruColors>
      <color rgb="FFDAED89"/>
      <color rgb="FFF7DBE0"/>
      <color rgb="FF005A9C"/>
      <color rgb="FFF5F5F5"/>
      <color rgb="FFE0F0FA"/>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https://www.w3.org/WAI/WCAG21/quickref/"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33"/>
  <sheetViews>
    <sheetView tabSelected="1" topLeftCell="A2" workbookViewId="0">
      <selection activeCell="A4" sqref="A4:E4"/>
    </sheetView>
  </sheetViews>
  <sheetFormatPr baseColWidth="10" defaultRowHeight="21" x14ac:dyDescent="0.25"/>
  <cols>
    <col min="1" max="1" width="46.5" style="26" customWidth="1"/>
    <col min="2" max="5" width="28.5" style="18" customWidth="1"/>
    <col min="6" max="16384" width="10.83203125" style="18"/>
  </cols>
  <sheetData>
    <row r="1" spans="1:5" ht="93" customHeight="1" x14ac:dyDescent="0.25">
      <c r="A1" s="78" t="s">
        <v>116</v>
      </c>
      <c r="B1" s="78"/>
      <c r="C1" s="39"/>
      <c r="D1" s="39"/>
      <c r="E1" s="27"/>
    </row>
    <row r="2" spans="1:5" x14ac:dyDescent="0.25">
      <c r="A2" s="79" t="s">
        <v>117</v>
      </c>
      <c r="B2" s="79"/>
      <c r="C2" s="40"/>
      <c r="D2" s="40"/>
      <c r="E2" s="27"/>
    </row>
    <row r="3" spans="1:5" ht="46" customHeight="1" x14ac:dyDescent="0.25">
      <c r="A3" s="80" t="s">
        <v>118</v>
      </c>
      <c r="B3" s="80"/>
      <c r="C3" s="41"/>
      <c r="D3" s="41"/>
      <c r="E3" s="27"/>
    </row>
    <row r="4" spans="1:5" ht="170" customHeight="1" x14ac:dyDescent="0.25">
      <c r="A4" s="81" t="s">
        <v>186</v>
      </c>
      <c r="B4" s="81"/>
      <c r="C4" s="81"/>
      <c r="D4" s="81"/>
      <c r="E4" s="81"/>
    </row>
    <row r="5" spans="1:5" ht="29" customHeight="1" thickBot="1" x14ac:dyDescent="0.3">
      <c r="A5" s="22"/>
      <c r="B5" s="2"/>
      <c r="C5" s="2"/>
      <c r="D5" s="2"/>
    </row>
    <row r="6" spans="1:5" s="19" customFormat="1" ht="47" customHeight="1" thickTop="1" x14ac:dyDescent="0.2">
      <c r="A6" s="23" t="s">
        <v>192</v>
      </c>
      <c r="B6" s="82"/>
      <c r="C6" s="83"/>
      <c r="D6" s="83"/>
      <c r="E6" s="84"/>
    </row>
    <row r="7" spans="1:5" s="19" customFormat="1" ht="47" customHeight="1" x14ac:dyDescent="0.2">
      <c r="A7" s="23" t="s">
        <v>2</v>
      </c>
      <c r="B7" s="75"/>
      <c r="C7" s="76"/>
      <c r="D7" s="76"/>
      <c r="E7" s="77"/>
    </row>
    <row r="8" spans="1:5" s="19" customFormat="1" ht="47" customHeight="1" x14ac:dyDescent="0.2">
      <c r="A8" s="23" t="s">
        <v>1</v>
      </c>
      <c r="B8" s="75"/>
      <c r="C8" s="76"/>
      <c r="D8" s="76"/>
      <c r="E8" s="77"/>
    </row>
    <row r="9" spans="1:5" s="19" customFormat="1" ht="47" customHeight="1" x14ac:dyDescent="0.2">
      <c r="A9" s="23" t="s">
        <v>193</v>
      </c>
      <c r="B9" s="75"/>
      <c r="C9" s="76"/>
      <c r="D9" s="76"/>
      <c r="E9" s="77"/>
    </row>
    <row r="10" spans="1:5" s="19" customFormat="1" ht="48" customHeight="1" x14ac:dyDescent="0.2">
      <c r="A10" s="23" t="s">
        <v>181</v>
      </c>
      <c r="B10" s="75"/>
      <c r="C10" s="76"/>
      <c r="D10" s="76"/>
      <c r="E10" s="77"/>
    </row>
    <row r="11" spans="1:5" s="19" customFormat="1" ht="108" customHeight="1" x14ac:dyDescent="0.2">
      <c r="A11" s="23" t="s">
        <v>180</v>
      </c>
      <c r="B11" s="75"/>
      <c r="C11" s="76"/>
      <c r="D11" s="76"/>
      <c r="E11" s="77"/>
    </row>
    <row r="12" spans="1:5" s="19" customFormat="1" ht="108" customHeight="1" thickBot="1" x14ac:dyDescent="0.25">
      <c r="A12" s="73" t="s">
        <v>194</v>
      </c>
      <c r="B12" s="88"/>
      <c r="C12" s="89"/>
      <c r="D12" s="89"/>
      <c r="E12" s="90"/>
    </row>
    <row r="13" spans="1:5" s="19" customFormat="1" ht="29" customHeight="1" thickTop="1" x14ac:dyDescent="0.2">
      <c r="A13" s="24"/>
    </row>
    <row r="14" spans="1:5" s="19" customFormat="1" ht="29" customHeight="1" x14ac:dyDescent="0.2">
      <c r="A14" s="24"/>
    </row>
    <row r="15" spans="1:5" s="19" customFormat="1" ht="47" customHeight="1" x14ac:dyDescent="0.2">
      <c r="A15" s="86" t="s">
        <v>119</v>
      </c>
      <c r="B15" s="48" t="s">
        <v>120</v>
      </c>
      <c r="C15" s="85" t="s">
        <v>121</v>
      </c>
      <c r="D15" s="85"/>
      <c r="E15" s="85"/>
    </row>
    <row r="16" spans="1:5" s="19" customFormat="1" ht="47" customHeight="1" x14ac:dyDescent="0.2">
      <c r="A16" s="87"/>
      <c r="B16" s="49" t="s">
        <v>185</v>
      </c>
      <c r="C16" s="48" t="s">
        <v>9</v>
      </c>
      <c r="D16" s="48" t="s">
        <v>15</v>
      </c>
      <c r="E16" s="48" t="s">
        <v>18</v>
      </c>
    </row>
    <row r="17" spans="1:5" s="19" customFormat="1" ht="47" customHeight="1" x14ac:dyDescent="0.2">
      <c r="A17" s="25" t="s">
        <v>98</v>
      </c>
      <c r="B17" s="44">
        <f>COUNTIF(Preliminary!C5:C48,"Not checked")</f>
        <v>42</v>
      </c>
      <c r="C17" s="44">
        <f>COUNTIFS('WCAG-EM (2.1)'!$E$7:$E$84,"Not checked",'WCAG-EM (2.1)'!$D$7:$D$84,"A")</f>
        <v>30</v>
      </c>
      <c r="D17" s="44">
        <f>COUNTIFS('WCAG-EM (2.1)'!$E$7:$E$84,"Not checked",'WCAG-EM (2.1)'!$D$7:$D$84,"AA")</f>
        <v>20</v>
      </c>
      <c r="E17" s="44">
        <f>COUNTIFS('WCAG-EM (2.1)'!$E$7:$E$84,"Not checked",'WCAG-EM (2.1)'!$D$7:$D$84,"AAA")</f>
        <v>28</v>
      </c>
    </row>
    <row r="18" spans="1:5" s="19" customFormat="1" ht="47" customHeight="1" x14ac:dyDescent="0.2">
      <c r="A18" s="25" t="s">
        <v>187</v>
      </c>
      <c r="B18" s="45">
        <f>COUNTIF(Preliminary!C6:C49,"Conforms")</f>
        <v>0</v>
      </c>
      <c r="C18" s="45">
        <f>COUNTIFS('WCAG-EM (2.1)'!$E$7:$E$84,"Conforms",'WCAG-EM (2.1)'!$D$7:$D$84,"A")</f>
        <v>0</v>
      </c>
      <c r="D18" s="45">
        <f>COUNTIFS('WCAG-EM (2.1)'!$E$7:$E$84,"Conforms",'WCAG-EM (2.1)'!$D$7:$D$84,"AA")</f>
        <v>0</v>
      </c>
      <c r="E18" s="45">
        <f>COUNTIFS('WCAG-EM (2.1)'!$E$7:$E$84,"Conforms",'WCAG-EM (2.1)'!$D$7:$D$84,"AAA")</f>
        <v>0</v>
      </c>
    </row>
    <row r="19" spans="1:5" s="19" customFormat="1" ht="47" customHeight="1" x14ac:dyDescent="0.2">
      <c r="A19" s="25" t="s">
        <v>189</v>
      </c>
      <c r="B19" s="64">
        <f>COUNTIF(Preliminary!C7:C50,"Partially conforms")</f>
        <v>0</v>
      </c>
      <c r="C19" s="64">
        <f>COUNTIFS('WCAG-EM (2.1)'!$E$7:$E$84,"Partially conforms",'WCAG-EM (2.1)'!$D$7:$D$84,"A")</f>
        <v>0</v>
      </c>
      <c r="D19" s="64">
        <f>COUNTIFS('WCAG-EM (2.1)'!$E$7:$E$84,"Partially conforms",'WCAG-EM (2.1)'!$D$7:$D$84,"AA")</f>
        <v>0</v>
      </c>
      <c r="E19" s="64">
        <f>COUNTIFS('WCAG-EM (2.1)'!$E$7:$E$84,"Partially conforms",'WCAG-EM (2.1)'!$D$7:$D$84,"AAA")</f>
        <v>0</v>
      </c>
    </row>
    <row r="20" spans="1:5" s="19" customFormat="1" ht="47" customHeight="1" x14ac:dyDescent="0.2">
      <c r="A20" s="25" t="s">
        <v>188</v>
      </c>
      <c r="B20" s="46">
        <f>COUNTIF(Preliminary!C8:C51,"Does not conform")</f>
        <v>0</v>
      </c>
      <c r="C20" s="46">
        <f>COUNTIFS('WCAG-EM (2.1)'!$E$7:$E$84,"Does not conform",'WCAG-EM (2.1)'!$D$7:$D$84,"A")</f>
        <v>0</v>
      </c>
      <c r="D20" s="46">
        <f>COUNTIFS('WCAG-EM (2.1)'!$E$7:$E$84,"Does not conform",'WCAG-EM (2.1)'!$D$7:$D$84,"AA")</f>
        <v>0</v>
      </c>
      <c r="E20" s="46">
        <f>COUNTIFS('WCAG-EM (2.1)'!$E$7:$E$84,"Does not conform",'WCAG-EM (2.1)'!$D$7:$D$84,"AAA")</f>
        <v>0</v>
      </c>
    </row>
    <row r="21" spans="1:5" s="19" customFormat="1" ht="47" customHeight="1" x14ac:dyDescent="0.2">
      <c r="A21" s="25" t="s">
        <v>99</v>
      </c>
      <c r="B21" s="47">
        <f>COUNTIF(Preliminary!C8:C51,"Not present")</f>
        <v>0</v>
      </c>
      <c r="C21" s="47">
        <f>COUNTIFS('WCAG-EM (2.1)'!$E$7:$E$84,"Not present",'WCAG-EM (2.1)'!$D$7:$D$84,"A")</f>
        <v>0</v>
      </c>
      <c r="D21" s="47">
        <f>COUNTIFS('WCAG-EM (2.1)'!$E$7:$E$84,"Not present",'WCAG-EM (2.1)'!$D$7:$D$84,"AA")</f>
        <v>0</v>
      </c>
      <c r="E21" s="47">
        <f>COUNTIFS('WCAG-EM (2.1)'!$E$7:$E$84,"Not present",'WCAG-EM (2.1)'!$D$7:$D$84,"AAA")</f>
        <v>0</v>
      </c>
    </row>
    <row r="22" spans="1:5" ht="47" customHeight="1" x14ac:dyDescent="0.25">
      <c r="A22" s="25" t="s">
        <v>100</v>
      </c>
      <c r="B22" s="47">
        <f>COUNTIF(Preliminary!C9:C52,"Cannot tell")</f>
        <v>0</v>
      </c>
      <c r="C22" s="47">
        <f>COUNTIFS('WCAG-EM (2.1)'!$E$7:$E$84,"Cannot tell",'WCAG-EM (2.1)'!$D$7:$D$84,"A")</f>
        <v>0</v>
      </c>
      <c r="D22" s="47">
        <f>COUNTIFS('WCAG-EM (2.1)'!$E$7:$E$84,"Cannot tell",'WCAG-EM (2.1)'!$D$7:$D$84,"AA")</f>
        <v>0</v>
      </c>
      <c r="E22" s="47">
        <f>COUNTIFS('WCAG-EM (2.1)'!$E$7:$E$84,"Cannot tell",'WCAG-EM (2.1)'!$D$7:$D$84,"AAA")</f>
        <v>0</v>
      </c>
    </row>
    <row r="23" spans="1:5" s="3" customFormat="1" ht="92" customHeight="1" x14ac:dyDescent="0.25">
      <c r="A23" s="26"/>
      <c r="B23" s="18"/>
      <c r="C23" s="18"/>
      <c r="D23" s="18"/>
      <c r="E23" s="18"/>
    </row>
    <row r="24" spans="1:5" s="31" customFormat="1" x14ac:dyDescent="0.25">
      <c r="A24" s="34"/>
      <c r="B24" s="35"/>
      <c r="C24" s="35"/>
      <c r="D24" s="35"/>
      <c r="E24" s="35"/>
    </row>
    <row r="25" spans="1:5" s="31" customFormat="1" x14ac:dyDescent="0.25">
      <c r="A25" s="29" t="s">
        <v>195</v>
      </c>
      <c r="B25" s="30"/>
      <c r="C25" s="30"/>
      <c r="D25" s="30"/>
      <c r="E25" s="30"/>
    </row>
    <row r="26" spans="1:5" s="31" customFormat="1" x14ac:dyDescent="0.25">
      <c r="A26" s="74" t="s">
        <v>122</v>
      </c>
      <c r="B26" s="74"/>
      <c r="C26" s="74"/>
      <c r="D26" s="74"/>
      <c r="E26" s="74"/>
    </row>
    <row r="27" spans="1:5" s="31" customFormat="1" x14ac:dyDescent="0.25">
      <c r="A27" s="32" t="s">
        <v>123</v>
      </c>
      <c r="B27" s="30"/>
      <c r="C27" s="30"/>
      <c r="D27" s="30"/>
      <c r="E27" s="30"/>
    </row>
    <row r="28" spans="1:5" s="31" customFormat="1" x14ac:dyDescent="0.25">
      <c r="A28" s="32" t="s">
        <v>124</v>
      </c>
      <c r="B28" s="30"/>
      <c r="C28" s="30"/>
      <c r="D28" s="30"/>
      <c r="E28" s="30"/>
    </row>
    <row r="29" spans="1:5" s="31" customFormat="1" x14ac:dyDescent="0.25">
      <c r="A29" s="29"/>
      <c r="B29" s="30"/>
      <c r="C29" s="30"/>
      <c r="D29" s="30"/>
      <c r="E29" s="30"/>
    </row>
    <row r="30" spans="1:5" s="31" customFormat="1" x14ac:dyDescent="0.25">
      <c r="A30" s="29" t="s">
        <v>125</v>
      </c>
      <c r="B30" s="30"/>
      <c r="C30" s="30"/>
      <c r="D30" s="30"/>
      <c r="E30" s="30"/>
    </row>
    <row r="31" spans="1:5" s="31" customFormat="1" x14ac:dyDescent="0.25">
      <c r="A31" s="33"/>
    </row>
    <row r="32" spans="1:5" s="31" customFormat="1" x14ac:dyDescent="0.25">
      <c r="A32" s="33"/>
    </row>
    <row r="33" spans="1:5" x14ac:dyDescent="0.25">
      <c r="A33" s="33"/>
      <c r="B33" s="31"/>
      <c r="C33" s="31"/>
      <c r="D33" s="31"/>
      <c r="E33" s="31"/>
    </row>
  </sheetData>
  <sheetProtection sheet="1" formatRows="0"/>
  <mergeCells count="14">
    <mergeCell ref="A26:E26"/>
    <mergeCell ref="B7:E7"/>
    <mergeCell ref="B8:E8"/>
    <mergeCell ref="B9:E9"/>
    <mergeCell ref="A1:B1"/>
    <mergeCell ref="A2:B2"/>
    <mergeCell ref="A3:B3"/>
    <mergeCell ref="A4:E4"/>
    <mergeCell ref="B6:E6"/>
    <mergeCell ref="C15:E15"/>
    <mergeCell ref="A15:A16"/>
    <mergeCell ref="B11:E11"/>
    <mergeCell ref="B12:E12"/>
    <mergeCell ref="B10:E10"/>
  </mergeCells>
  <conditionalFormatting sqref="C16">
    <cfRule type="expression" dxfId="12" priority="5">
      <formula>IF(AND($C$17=0,$C$19=0,$C$20=0 ),TRUE)</formula>
    </cfRule>
  </conditionalFormatting>
  <conditionalFormatting sqref="D16">
    <cfRule type="expression" dxfId="11" priority="2">
      <formula>IF(AND($C$17=0,$C$19=0,$C$20=0,$D$17=0,$D$19=0,$D$20=0),TRUE)</formula>
    </cfRule>
  </conditionalFormatting>
  <conditionalFormatting sqref="E16">
    <cfRule type="expression" dxfId="10" priority="1">
      <formula>IF(AND($C$17=0,$C$19=0,$C$20=0,$D$17=0,$D$19=0,$D$20=0,$E$17=0,$E$19=0,$E$20=0),TRUE)</formula>
    </cfRule>
  </conditionalFormatting>
  <hyperlinks>
    <hyperlink ref="A3:B3" r:id="rId1" display="https://www.w3.org/WAI/test-evaluate/" xr:uid="{717D4CC3-FF88-694E-9E95-8447CDD7A238}"/>
    <hyperlink ref="A27" r:id="rId2" xr:uid="{52192B0F-CB6F-134F-B1B5-B9FAACA066E0}"/>
    <hyperlink ref="A28"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J51"/>
  <sheetViews>
    <sheetView topLeftCell="A7" zoomScaleNormal="100" workbookViewId="0">
      <selection activeCell="C8" sqref="C8"/>
    </sheetView>
  </sheetViews>
  <sheetFormatPr baseColWidth="10" defaultRowHeight="21" x14ac:dyDescent="0.2"/>
  <cols>
    <col min="1" max="1" width="48" style="2" customWidth="1"/>
    <col min="2" max="2" width="66" style="2" customWidth="1"/>
    <col min="3" max="3" width="25.5" style="2" customWidth="1"/>
    <col min="4" max="5" width="57.83203125" style="2" customWidth="1"/>
    <col min="6" max="6" width="10.83203125" style="2" customWidth="1"/>
    <col min="7" max="16384" width="10.83203125" style="2"/>
  </cols>
  <sheetData>
    <row r="1" spans="1:10" ht="85" customHeight="1" x14ac:dyDescent="0.2">
      <c r="A1" s="78" t="s">
        <v>109</v>
      </c>
      <c r="B1" s="78"/>
      <c r="C1" s="11"/>
      <c r="D1" s="11"/>
      <c r="E1" s="53"/>
      <c r="F1" s="54"/>
      <c r="G1" s="54"/>
      <c r="H1" s="54"/>
      <c r="I1" s="54"/>
      <c r="J1" s="54"/>
    </row>
    <row r="2" spans="1:10" s="12" customFormat="1" ht="33" x14ac:dyDescent="0.35">
      <c r="A2" s="93" t="s">
        <v>115</v>
      </c>
      <c r="B2" s="93"/>
      <c r="C2" s="51"/>
      <c r="D2" s="51"/>
      <c r="E2" s="55"/>
      <c r="F2" s="56"/>
      <c r="G2" s="56"/>
      <c r="H2" s="56"/>
      <c r="I2" s="56"/>
      <c r="J2" s="56"/>
    </row>
    <row r="3" spans="1:10" s="12" customFormat="1" ht="34" customHeight="1" x14ac:dyDescent="0.25">
      <c r="A3" s="94" t="s">
        <v>110</v>
      </c>
      <c r="B3" s="94"/>
      <c r="C3" s="52"/>
      <c r="D3" s="52"/>
      <c r="E3" s="91"/>
      <c r="F3" s="56"/>
      <c r="G3" s="56"/>
      <c r="H3" s="56"/>
      <c r="I3" s="56"/>
      <c r="J3" s="56"/>
    </row>
    <row r="4" spans="1:10" s="12" customFormat="1" ht="85" customHeight="1" x14ac:dyDescent="0.25">
      <c r="A4" s="95" t="s">
        <v>191</v>
      </c>
      <c r="B4" s="95"/>
      <c r="C4" s="95"/>
      <c r="D4" s="69"/>
      <c r="E4" s="91"/>
      <c r="F4" s="56"/>
      <c r="G4" s="56"/>
      <c r="H4" s="56"/>
      <c r="I4" s="56"/>
      <c r="J4" s="56"/>
    </row>
    <row r="5" spans="1:10" s="13" customFormat="1" ht="32" customHeight="1" x14ac:dyDescent="0.2">
      <c r="A5" s="2"/>
      <c r="B5" s="2"/>
      <c r="C5" s="2"/>
      <c r="D5" s="70"/>
      <c r="E5" s="2"/>
    </row>
    <row r="6" spans="1:10" ht="57" customHeight="1" thickBot="1" x14ac:dyDescent="0.25">
      <c r="A6" s="14" t="s">
        <v>0</v>
      </c>
      <c r="B6" s="14" t="s">
        <v>108</v>
      </c>
      <c r="C6" s="15" t="s">
        <v>5</v>
      </c>
      <c r="D6" s="15" t="s">
        <v>6</v>
      </c>
      <c r="E6" s="15" t="s">
        <v>190</v>
      </c>
    </row>
    <row r="7" spans="1:10" ht="45" thickTop="1" x14ac:dyDescent="0.2">
      <c r="A7" s="92" t="s">
        <v>126</v>
      </c>
      <c r="B7" s="21" t="s">
        <v>136</v>
      </c>
      <c r="C7" s="36" t="s">
        <v>98</v>
      </c>
      <c r="D7" s="65"/>
      <c r="E7" s="57"/>
    </row>
    <row r="8" spans="1:10" ht="66" x14ac:dyDescent="0.2">
      <c r="A8" s="92"/>
      <c r="B8" s="21" t="s">
        <v>137</v>
      </c>
      <c r="C8" s="37" t="s">
        <v>98</v>
      </c>
      <c r="D8" s="68"/>
      <c r="E8" s="58"/>
    </row>
    <row r="9" spans="1:10" ht="44" x14ac:dyDescent="0.2">
      <c r="A9" s="42" t="s">
        <v>127</v>
      </c>
      <c r="B9" s="21" t="s">
        <v>138</v>
      </c>
      <c r="C9" s="37" t="s">
        <v>98</v>
      </c>
      <c r="D9" s="68"/>
      <c r="E9" s="58"/>
    </row>
    <row r="10" spans="1:10" ht="44" x14ac:dyDescent="0.2">
      <c r="A10" s="92" t="s">
        <v>128</v>
      </c>
      <c r="B10" s="21" t="s">
        <v>139</v>
      </c>
      <c r="C10" s="37" t="s">
        <v>98</v>
      </c>
      <c r="D10" s="68"/>
      <c r="E10" s="58"/>
    </row>
    <row r="11" spans="1:10" ht="44" x14ac:dyDescent="0.2">
      <c r="A11" s="92"/>
      <c r="B11" s="21" t="s">
        <v>140</v>
      </c>
      <c r="C11" s="37" t="s">
        <v>98</v>
      </c>
      <c r="D11" s="68"/>
      <c r="E11" s="58"/>
    </row>
    <row r="12" spans="1:10" ht="44" x14ac:dyDescent="0.2">
      <c r="A12" s="92"/>
      <c r="B12" s="21" t="s">
        <v>141</v>
      </c>
      <c r="C12" s="37" t="s">
        <v>98</v>
      </c>
      <c r="D12" s="68"/>
      <c r="E12" s="58"/>
    </row>
    <row r="13" spans="1:10" ht="22" x14ac:dyDescent="0.2">
      <c r="A13" s="92"/>
      <c r="B13" s="21" t="s">
        <v>142</v>
      </c>
      <c r="C13" s="37" t="s">
        <v>98</v>
      </c>
      <c r="D13" s="68"/>
      <c r="E13" s="58"/>
    </row>
    <row r="14" spans="1:10" ht="44" x14ac:dyDescent="0.2">
      <c r="A14" s="92" t="s">
        <v>129</v>
      </c>
      <c r="B14" s="21" t="s">
        <v>143</v>
      </c>
      <c r="C14" s="37" t="s">
        <v>98</v>
      </c>
      <c r="D14" s="68"/>
      <c r="E14" s="58"/>
    </row>
    <row r="15" spans="1:10" ht="44" x14ac:dyDescent="0.2">
      <c r="A15" s="92"/>
      <c r="B15" s="21" t="s">
        <v>144</v>
      </c>
      <c r="C15" s="37" t="s">
        <v>98</v>
      </c>
      <c r="D15" s="68"/>
      <c r="E15" s="58"/>
    </row>
    <row r="16" spans="1:10" ht="22" x14ac:dyDescent="0.2">
      <c r="A16" s="92" t="s">
        <v>130</v>
      </c>
      <c r="B16" s="21" t="s">
        <v>145</v>
      </c>
      <c r="C16" s="37" t="s">
        <v>98</v>
      </c>
      <c r="D16" s="68"/>
      <c r="E16" s="58"/>
    </row>
    <row r="17" spans="1:5" ht="44" x14ac:dyDescent="0.2">
      <c r="A17" s="92"/>
      <c r="B17" s="21" t="s">
        <v>146</v>
      </c>
      <c r="C17" s="37" t="s">
        <v>98</v>
      </c>
      <c r="D17" s="68"/>
      <c r="E17" s="58"/>
    </row>
    <row r="18" spans="1:5" ht="22" x14ac:dyDescent="0.2">
      <c r="A18" s="92"/>
      <c r="B18" s="21" t="s">
        <v>147</v>
      </c>
      <c r="C18" s="37" t="s">
        <v>98</v>
      </c>
      <c r="D18" s="68"/>
      <c r="E18" s="58"/>
    </row>
    <row r="19" spans="1:5" ht="22" x14ac:dyDescent="0.2">
      <c r="A19" s="92"/>
      <c r="B19" s="21" t="s">
        <v>148</v>
      </c>
      <c r="C19" s="37" t="s">
        <v>98</v>
      </c>
      <c r="D19" s="68"/>
      <c r="E19" s="58"/>
    </row>
    <row r="20" spans="1:5" ht="44" x14ac:dyDescent="0.2">
      <c r="A20" s="92"/>
      <c r="B20" s="21" t="s">
        <v>149</v>
      </c>
      <c r="C20" s="37" t="s">
        <v>98</v>
      </c>
      <c r="D20" s="68"/>
      <c r="E20" s="58"/>
    </row>
    <row r="21" spans="1:5" ht="44" x14ac:dyDescent="0.2">
      <c r="A21" s="92"/>
      <c r="B21" s="21" t="s">
        <v>150</v>
      </c>
      <c r="C21" s="37" t="s">
        <v>98</v>
      </c>
      <c r="D21" s="68"/>
      <c r="E21" s="58"/>
    </row>
    <row r="22" spans="1:5" ht="22" x14ac:dyDescent="0.2">
      <c r="A22" s="92" t="s">
        <v>131</v>
      </c>
      <c r="B22" s="21" t="s">
        <v>151</v>
      </c>
      <c r="C22" s="37" t="s">
        <v>98</v>
      </c>
      <c r="D22" s="68"/>
      <c r="E22" s="58"/>
    </row>
    <row r="23" spans="1:5" ht="22" x14ac:dyDescent="0.2">
      <c r="A23" s="92"/>
      <c r="B23" s="21" t="s">
        <v>152</v>
      </c>
      <c r="C23" s="37" t="s">
        <v>98</v>
      </c>
      <c r="D23" s="68"/>
      <c r="E23" s="58"/>
    </row>
    <row r="24" spans="1:5" ht="22" x14ac:dyDescent="0.2">
      <c r="A24" s="92"/>
      <c r="B24" s="21" t="s">
        <v>153</v>
      </c>
      <c r="C24" s="37" t="s">
        <v>98</v>
      </c>
      <c r="D24" s="68"/>
      <c r="E24" s="58"/>
    </row>
    <row r="25" spans="1:5" ht="22" x14ac:dyDescent="0.2">
      <c r="A25" s="92"/>
      <c r="B25" s="21" t="s">
        <v>154</v>
      </c>
      <c r="C25" s="37" t="s">
        <v>98</v>
      </c>
      <c r="D25" s="68"/>
      <c r="E25" s="58"/>
    </row>
    <row r="26" spans="1:5" ht="22" x14ac:dyDescent="0.2">
      <c r="A26" s="92"/>
      <c r="B26" s="21" t="s">
        <v>155</v>
      </c>
      <c r="C26" s="37" t="s">
        <v>98</v>
      </c>
      <c r="D26" s="68"/>
      <c r="E26" s="58"/>
    </row>
    <row r="27" spans="1:5" ht="22" x14ac:dyDescent="0.2">
      <c r="A27" s="92"/>
      <c r="B27" s="21" t="s">
        <v>156</v>
      </c>
      <c r="C27" s="37" t="s">
        <v>98</v>
      </c>
      <c r="D27" s="68"/>
      <c r="E27" s="58"/>
    </row>
    <row r="28" spans="1:5" ht="22" x14ac:dyDescent="0.2">
      <c r="A28" s="92"/>
      <c r="B28" s="21" t="s">
        <v>157</v>
      </c>
      <c r="C28" s="37" t="s">
        <v>98</v>
      </c>
      <c r="D28" s="68"/>
      <c r="E28" s="58"/>
    </row>
    <row r="29" spans="1:5" ht="66" x14ac:dyDescent="0.2">
      <c r="A29" s="92" t="s">
        <v>132</v>
      </c>
      <c r="B29" s="21" t="s">
        <v>158</v>
      </c>
      <c r="C29" s="37" t="s">
        <v>98</v>
      </c>
      <c r="D29" s="68"/>
      <c r="E29" s="58"/>
    </row>
    <row r="30" spans="1:5" ht="44" x14ac:dyDescent="0.2">
      <c r="A30" s="92"/>
      <c r="B30" s="21" t="s">
        <v>159</v>
      </c>
      <c r="C30" s="37" t="s">
        <v>98</v>
      </c>
      <c r="D30" s="68"/>
      <c r="E30" s="58"/>
    </row>
    <row r="31" spans="1:5" ht="22" x14ac:dyDescent="0.2">
      <c r="A31" s="92"/>
      <c r="B31" s="21" t="s">
        <v>160</v>
      </c>
      <c r="C31" s="37" t="s">
        <v>98</v>
      </c>
      <c r="D31" s="68"/>
      <c r="E31" s="58"/>
    </row>
    <row r="32" spans="1:5" ht="66" x14ac:dyDescent="0.2">
      <c r="A32" s="92"/>
      <c r="B32" s="21" t="s">
        <v>161</v>
      </c>
      <c r="C32" s="37" t="s">
        <v>98</v>
      </c>
      <c r="D32" s="68"/>
      <c r="E32" s="58"/>
    </row>
    <row r="33" spans="1:5" ht="88" x14ac:dyDescent="0.2">
      <c r="A33" s="92"/>
      <c r="B33" s="21" t="s">
        <v>162</v>
      </c>
      <c r="C33" s="37" t="s">
        <v>98</v>
      </c>
      <c r="D33" s="68"/>
      <c r="E33" s="58"/>
    </row>
    <row r="34" spans="1:5" ht="66" x14ac:dyDescent="0.2">
      <c r="A34" s="92"/>
      <c r="B34" s="21" t="s">
        <v>163</v>
      </c>
      <c r="C34" s="37" t="s">
        <v>98</v>
      </c>
      <c r="D34" s="68"/>
      <c r="E34" s="58"/>
    </row>
    <row r="35" spans="1:5" ht="66" x14ac:dyDescent="0.2">
      <c r="A35" s="92"/>
      <c r="B35" s="21" t="s">
        <v>164</v>
      </c>
      <c r="C35" s="37" t="s">
        <v>98</v>
      </c>
      <c r="D35" s="68"/>
      <c r="E35" s="58"/>
    </row>
    <row r="36" spans="1:5" ht="44" x14ac:dyDescent="0.2">
      <c r="A36" s="92"/>
      <c r="B36" s="21" t="s">
        <v>165</v>
      </c>
      <c r="C36" s="37" t="s">
        <v>98</v>
      </c>
      <c r="D36" s="68"/>
      <c r="E36" s="58"/>
    </row>
    <row r="37" spans="1:5" ht="22" x14ac:dyDescent="0.2">
      <c r="A37" s="92"/>
      <c r="B37" s="21" t="s">
        <v>166</v>
      </c>
      <c r="C37" s="37" t="s">
        <v>98</v>
      </c>
      <c r="D37" s="68"/>
      <c r="E37" s="58"/>
    </row>
    <row r="38" spans="1:5" ht="44" x14ac:dyDescent="0.2">
      <c r="A38" s="92"/>
      <c r="B38" s="21" t="s">
        <v>167</v>
      </c>
      <c r="C38" s="37" t="s">
        <v>98</v>
      </c>
      <c r="D38" s="68"/>
      <c r="E38" s="58"/>
    </row>
    <row r="39" spans="1:5" ht="110" x14ac:dyDescent="0.2">
      <c r="A39" s="92" t="s">
        <v>133</v>
      </c>
      <c r="B39" s="21" t="s">
        <v>168</v>
      </c>
      <c r="C39" s="37" t="s">
        <v>98</v>
      </c>
      <c r="D39" s="68"/>
      <c r="E39" s="58"/>
    </row>
    <row r="40" spans="1:5" ht="110" x14ac:dyDescent="0.2">
      <c r="A40" s="92"/>
      <c r="B40" s="21" t="s">
        <v>169</v>
      </c>
      <c r="C40" s="37" t="s">
        <v>98</v>
      </c>
      <c r="D40" s="68"/>
      <c r="E40" s="58"/>
    </row>
    <row r="41" spans="1:5" ht="66" x14ac:dyDescent="0.2">
      <c r="A41" s="92"/>
      <c r="B41" s="21" t="s">
        <v>170</v>
      </c>
      <c r="C41" s="37" t="s">
        <v>98</v>
      </c>
      <c r="D41" s="68"/>
      <c r="E41" s="58"/>
    </row>
    <row r="42" spans="1:5" ht="44" x14ac:dyDescent="0.2">
      <c r="A42" s="92" t="s">
        <v>134</v>
      </c>
      <c r="B42" s="21" t="s">
        <v>171</v>
      </c>
      <c r="C42" s="37" t="s">
        <v>98</v>
      </c>
      <c r="D42" s="68"/>
      <c r="E42" s="58"/>
    </row>
    <row r="43" spans="1:5" ht="88" x14ac:dyDescent="0.2">
      <c r="A43" s="92"/>
      <c r="B43" s="21" t="s">
        <v>172</v>
      </c>
      <c r="C43" s="37" t="s">
        <v>98</v>
      </c>
      <c r="D43" s="68"/>
      <c r="E43" s="58"/>
    </row>
    <row r="44" spans="1:5" ht="88" x14ac:dyDescent="0.2">
      <c r="A44" s="92"/>
      <c r="B44" s="21" t="s">
        <v>173</v>
      </c>
      <c r="C44" s="37" t="s">
        <v>98</v>
      </c>
      <c r="D44" s="68"/>
      <c r="E44" s="58"/>
    </row>
    <row r="45" spans="1:5" ht="44" x14ac:dyDescent="0.2">
      <c r="A45" s="92"/>
      <c r="B45" s="21" t="s">
        <v>174</v>
      </c>
      <c r="C45" s="37" t="s">
        <v>98</v>
      </c>
      <c r="D45" s="68"/>
      <c r="E45" s="58"/>
    </row>
    <row r="46" spans="1:5" ht="66" x14ac:dyDescent="0.2">
      <c r="A46" s="92"/>
      <c r="B46" s="21" t="s">
        <v>175</v>
      </c>
      <c r="C46" s="37" t="s">
        <v>98</v>
      </c>
      <c r="D46" s="68"/>
      <c r="E46" s="58"/>
    </row>
    <row r="47" spans="1:5" ht="66" x14ac:dyDescent="0.2">
      <c r="A47" s="92"/>
      <c r="B47" s="21" t="s">
        <v>176</v>
      </c>
      <c r="C47" s="37" t="s">
        <v>98</v>
      </c>
      <c r="D47" s="68"/>
      <c r="E47" s="58"/>
    </row>
    <row r="48" spans="1:5" ht="44" x14ac:dyDescent="0.2">
      <c r="A48" s="92" t="s">
        <v>135</v>
      </c>
      <c r="B48" s="21" t="s">
        <v>177</v>
      </c>
      <c r="C48" s="37" t="s">
        <v>98</v>
      </c>
      <c r="D48" s="68"/>
      <c r="E48" s="58"/>
    </row>
    <row r="49" spans="1:5" ht="44" x14ac:dyDescent="0.2">
      <c r="A49" s="92"/>
      <c r="B49" s="21" t="s">
        <v>178</v>
      </c>
      <c r="C49" s="37" t="s">
        <v>98</v>
      </c>
      <c r="D49" s="68"/>
      <c r="E49" s="58"/>
    </row>
    <row r="50" spans="1:5" ht="23" thickBot="1" x14ac:dyDescent="0.25">
      <c r="A50" s="92"/>
      <c r="B50" s="21" t="s">
        <v>179</v>
      </c>
      <c r="C50" s="38" t="s">
        <v>98</v>
      </c>
      <c r="D50" s="67"/>
      <c r="E50" s="59"/>
    </row>
    <row r="51" spans="1:5" ht="22" thickTop="1" x14ac:dyDescent="0.2"/>
  </sheetData>
  <sheetProtection sheet="1" formatRows="0" autoFilter="0"/>
  <autoFilter ref="A6:E50" xr:uid="{DF7FFEF3-250D-1048-9F10-ADB90F911FD8}"/>
  <mergeCells count="14">
    <mergeCell ref="A1:B1"/>
    <mergeCell ref="A2:B2"/>
    <mergeCell ref="A7:A8"/>
    <mergeCell ref="A10:A13"/>
    <mergeCell ref="A14:A15"/>
    <mergeCell ref="A3:B3"/>
    <mergeCell ref="A4:C4"/>
    <mergeCell ref="E3:E4"/>
    <mergeCell ref="A39:A41"/>
    <mergeCell ref="A42:A47"/>
    <mergeCell ref="A48:A50"/>
    <mergeCell ref="A16:A21"/>
    <mergeCell ref="A22:A28"/>
    <mergeCell ref="A29:A38"/>
  </mergeCells>
  <conditionalFormatting sqref="C7:D50">
    <cfRule type="containsText" dxfId="9" priority="2" operator="containsText" text="Cannot tell">
      <formula>NOT(ISERROR(SEARCH("Cannot tell",C7)))</formula>
    </cfRule>
    <cfRule type="containsText" dxfId="8" priority="3" operator="containsText" text="Not present">
      <formula>NOT(ISERROR(SEARCH("Not present",C7)))</formula>
    </cfRule>
    <cfRule type="containsText" dxfId="7" priority="4" operator="containsText" text="Conforms">
      <formula>NOT(ISERROR(SEARCH("Conforms",C7)))</formula>
    </cfRule>
    <cfRule type="containsText" dxfId="6" priority="5" operator="containsText" text="Does not conform">
      <formula>NOT(ISERROR(SEARCH("Does not conform",C7)))</formula>
    </cfRule>
    <cfRule type="containsText" dxfId="5" priority="1" operator="containsText" text="Partially conforms">
      <formula>NOT(ISERROR(SEARCH("Partially conforms",C7)))</formula>
    </cfRule>
  </conditionalFormatting>
  <hyperlinks>
    <hyperlink ref="A3:B3" r:id="rId1" display="https://www.w3.org/WAI/test-evaluate/preliminary/" xr:uid="{209466C7-90FA-5045-AE5D-65308C3C9F9E}"/>
    <hyperlink ref="A7:A8" r:id="rId2" location="title" display="1 Page titles" xr:uid="{046441F5-486A-8049-9D5B-EFE01ACC9B14}"/>
    <hyperlink ref="A9" r:id="rId3" location="images" xr:uid="{ED316F70-4006-6F44-ADC6-BEFA2E7DA1B1}"/>
    <hyperlink ref="A10:A13" r:id="rId4" location="headings" display="3 Headings" xr:uid="{FBC15C5F-9990-064B-96AF-35D1FC8FF368}"/>
    <hyperlink ref="A14:A15" r:id="rId5" location="contrast" display="4 Contrast ratio (&quot;color contrast&quot;)" xr:uid="{416D235F-8E69-E442-9BF2-F177BE7A7DE9}"/>
    <hyperlink ref="A16:A21" r:id="rId6" location="resize" display="5 Resize text" xr:uid="{AEF8D53F-A322-084B-AAF9-8C4B61791B47}"/>
    <hyperlink ref="A22:A28" r:id="rId7" location="interaction" display="6 Keyboard access and visual focus" xr:uid="{698D30E5-F0FE-D344-9595-785521DD3DC1}"/>
    <hyperlink ref="A29:A38" r:id="rId8" location="forms" display="7 Forms, labels, and errors" xr:uid="{868CAE6D-9B07-9945-972E-2691BF96325C}"/>
    <hyperlink ref="A39:A41" r:id="rId9" location="moving" display="8 Moving, Flashing or Blinking Content" xr:uid="{92E7AC04-3C6B-E642-AA94-B8577DB0FC44}"/>
    <hyperlink ref="A42:A47" r:id="rId10" location="media" display="9 Multimedia (video, audio) alternatives" xr:uid="{B61369CB-46B3-AA42-8A19-59F23511B9A8}"/>
    <hyperlink ref="A48:A50"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'(data)'!$A$3:$A$8</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I85"/>
  <sheetViews>
    <sheetView workbookViewId="0">
      <selection activeCell="F3" sqref="F3"/>
    </sheetView>
  </sheetViews>
  <sheetFormatPr baseColWidth="10" defaultColWidth="18" defaultRowHeight="25" customHeight="1" x14ac:dyDescent="0.25"/>
  <cols>
    <col min="1" max="1" width="34.5" style="3" customWidth="1"/>
    <col min="2" max="2" width="48.6640625" style="10" customWidth="1"/>
    <col min="3" max="3" width="76.6640625" style="3" customWidth="1"/>
    <col min="4" max="4" width="10.83203125" style="4" customWidth="1"/>
    <col min="5" max="5" width="24.6640625" style="3" customWidth="1"/>
    <col min="6" max="7" width="56.6640625" style="3" customWidth="1"/>
    <col min="8" max="16384" width="18" style="3"/>
  </cols>
  <sheetData>
    <row r="1" spans="1:9" s="1" customFormat="1" ht="82" customHeight="1" x14ac:dyDescent="0.25">
      <c r="A1" s="78" t="s">
        <v>111</v>
      </c>
      <c r="B1" s="78"/>
      <c r="C1" s="78"/>
      <c r="D1" s="60"/>
      <c r="E1" s="61"/>
      <c r="F1" s="61"/>
      <c r="G1" s="61"/>
    </row>
    <row r="2" spans="1:9" s="28" customFormat="1" ht="28" customHeight="1" x14ac:dyDescent="0.2">
      <c r="A2" s="79" t="s">
        <v>114</v>
      </c>
      <c r="B2" s="79"/>
      <c r="C2" s="79"/>
      <c r="D2" s="62"/>
      <c r="E2" s="63"/>
      <c r="F2" s="63"/>
      <c r="G2" s="63"/>
    </row>
    <row r="3" spans="1:9" s="1" customFormat="1" ht="39" customHeight="1" x14ac:dyDescent="0.25">
      <c r="A3" s="94" t="s">
        <v>112</v>
      </c>
      <c r="B3" s="94"/>
      <c r="C3" s="94"/>
      <c r="D3" s="60"/>
      <c r="E3" s="61"/>
      <c r="F3" s="61"/>
      <c r="G3" s="97"/>
    </row>
    <row r="4" spans="1:9" s="1" customFormat="1" ht="98" customHeight="1" x14ac:dyDescent="0.25">
      <c r="A4" s="96" t="s">
        <v>113</v>
      </c>
      <c r="B4" s="96"/>
      <c r="C4" s="96"/>
      <c r="D4" s="60"/>
      <c r="E4" s="61"/>
      <c r="F4" s="61"/>
      <c r="G4" s="97"/>
    </row>
    <row r="5" spans="1:9" ht="38" customHeight="1" x14ac:dyDescent="0.25">
      <c r="A5" s="50"/>
      <c r="B5" s="2"/>
    </row>
    <row r="6" spans="1:9" s="8" customFormat="1" ht="52" customHeight="1" thickBot="1" x14ac:dyDescent="0.3">
      <c r="A6" s="5" t="s">
        <v>3</v>
      </c>
      <c r="B6" s="5" t="s">
        <v>103</v>
      </c>
      <c r="C6" s="5" t="s">
        <v>102</v>
      </c>
      <c r="D6" s="6" t="s">
        <v>4</v>
      </c>
      <c r="E6" s="7" t="s">
        <v>5</v>
      </c>
      <c r="F6" s="7" t="s">
        <v>6</v>
      </c>
      <c r="G6" s="7" t="s">
        <v>190</v>
      </c>
      <c r="I6" s="3"/>
    </row>
    <row r="7" spans="1:9" ht="24" thickTop="1" x14ac:dyDescent="0.25">
      <c r="A7" s="99" t="s">
        <v>104</v>
      </c>
      <c r="B7" s="9" t="s">
        <v>7</v>
      </c>
      <c r="C7" s="43" t="s">
        <v>8</v>
      </c>
      <c r="D7" s="20" t="s">
        <v>9</v>
      </c>
      <c r="E7" s="71" t="s">
        <v>98</v>
      </c>
      <c r="F7" s="65"/>
      <c r="G7" s="57"/>
    </row>
    <row r="8" spans="1:9" ht="22" x14ac:dyDescent="0.25">
      <c r="A8" s="99"/>
      <c r="B8" s="98" t="s">
        <v>10</v>
      </c>
      <c r="C8" s="43" t="s">
        <v>11</v>
      </c>
      <c r="D8" s="20" t="s">
        <v>9</v>
      </c>
      <c r="E8" s="72" t="s">
        <v>98</v>
      </c>
      <c r="F8" s="66"/>
      <c r="G8" s="58"/>
    </row>
    <row r="9" spans="1:9" ht="22" x14ac:dyDescent="0.25">
      <c r="A9" s="99"/>
      <c r="B9" s="98"/>
      <c r="C9" s="43" t="s">
        <v>12</v>
      </c>
      <c r="D9" s="20" t="s">
        <v>9</v>
      </c>
      <c r="E9" s="72" t="s">
        <v>98</v>
      </c>
      <c r="F9" s="66"/>
      <c r="G9" s="58"/>
    </row>
    <row r="10" spans="1:9" ht="22" x14ac:dyDescent="0.25">
      <c r="A10" s="99"/>
      <c r="B10" s="98"/>
      <c r="C10" s="43" t="s">
        <v>13</v>
      </c>
      <c r="D10" s="20" t="s">
        <v>9</v>
      </c>
      <c r="E10" s="72" t="s">
        <v>98</v>
      </c>
      <c r="F10" s="66"/>
      <c r="G10" s="58"/>
    </row>
    <row r="11" spans="1:9" ht="22" x14ac:dyDescent="0.25">
      <c r="A11" s="99"/>
      <c r="B11" s="98"/>
      <c r="C11" s="43" t="s">
        <v>14</v>
      </c>
      <c r="D11" s="20" t="s">
        <v>15</v>
      </c>
      <c r="E11" s="72" t="s">
        <v>98</v>
      </c>
      <c r="F11" s="66"/>
      <c r="G11" s="58"/>
    </row>
    <row r="12" spans="1:9" ht="22" x14ac:dyDescent="0.25">
      <c r="A12" s="99"/>
      <c r="B12" s="98"/>
      <c r="C12" s="43" t="s">
        <v>16</v>
      </c>
      <c r="D12" s="20" t="s">
        <v>15</v>
      </c>
      <c r="E12" s="72" t="s">
        <v>98</v>
      </c>
      <c r="F12" s="66"/>
      <c r="G12" s="58"/>
    </row>
    <row r="13" spans="1:9" ht="22" x14ac:dyDescent="0.25">
      <c r="A13" s="99"/>
      <c r="B13" s="98"/>
      <c r="C13" s="43" t="s">
        <v>17</v>
      </c>
      <c r="D13" s="20" t="s">
        <v>18</v>
      </c>
      <c r="E13" s="72" t="s">
        <v>98</v>
      </c>
      <c r="F13" s="66"/>
      <c r="G13" s="58"/>
    </row>
    <row r="14" spans="1:9" ht="22" x14ac:dyDescent="0.25">
      <c r="A14" s="99"/>
      <c r="B14" s="98"/>
      <c r="C14" s="43" t="s">
        <v>184</v>
      </c>
      <c r="D14" s="20" t="s">
        <v>18</v>
      </c>
      <c r="E14" s="72" t="s">
        <v>98</v>
      </c>
      <c r="F14" s="66"/>
      <c r="G14" s="58"/>
    </row>
    <row r="15" spans="1:9" ht="22" x14ac:dyDescent="0.25">
      <c r="A15" s="99"/>
      <c r="B15" s="98"/>
      <c r="C15" s="43" t="s">
        <v>19</v>
      </c>
      <c r="D15" s="20" t="s">
        <v>18</v>
      </c>
      <c r="E15" s="72" t="s">
        <v>98</v>
      </c>
      <c r="F15" s="66"/>
      <c r="G15" s="58"/>
    </row>
    <row r="16" spans="1:9" ht="22" x14ac:dyDescent="0.25">
      <c r="A16" s="99"/>
      <c r="B16" s="98"/>
      <c r="C16" s="43" t="s">
        <v>20</v>
      </c>
      <c r="D16" s="20" t="s">
        <v>18</v>
      </c>
      <c r="E16" s="72" t="s">
        <v>98</v>
      </c>
      <c r="F16" s="66"/>
      <c r="G16" s="58"/>
    </row>
    <row r="17" spans="1:7" ht="22" x14ac:dyDescent="0.25">
      <c r="A17" s="99"/>
      <c r="B17" s="98" t="s">
        <v>21</v>
      </c>
      <c r="C17" s="43" t="s">
        <v>22</v>
      </c>
      <c r="D17" s="20" t="s">
        <v>9</v>
      </c>
      <c r="E17" s="72" t="s">
        <v>98</v>
      </c>
      <c r="F17" s="66"/>
      <c r="G17" s="58"/>
    </row>
    <row r="18" spans="1:7" ht="22" x14ac:dyDescent="0.25">
      <c r="A18" s="99"/>
      <c r="B18" s="98"/>
      <c r="C18" s="43" t="s">
        <v>23</v>
      </c>
      <c r="D18" s="20" t="s">
        <v>9</v>
      </c>
      <c r="E18" s="72" t="s">
        <v>98</v>
      </c>
      <c r="F18" s="66"/>
      <c r="G18" s="58"/>
    </row>
    <row r="19" spans="1:7" ht="22" x14ac:dyDescent="0.25">
      <c r="A19" s="99"/>
      <c r="B19" s="98"/>
      <c r="C19" s="43" t="s">
        <v>24</v>
      </c>
      <c r="D19" s="20" t="s">
        <v>9</v>
      </c>
      <c r="E19" s="72" t="s">
        <v>98</v>
      </c>
      <c r="F19" s="66"/>
      <c r="G19" s="58"/>
    </row>
    <row r="20" spans="1:7" ht="22" x14ac:dyDescent="0.25">
      <c r="A20" s="99"/>
      <c r="B20" s="98"/>
      <c r="C20" s="43" t="s">
        <v>25</v>
      </c>
      <c r="D20" s="20" t="s">
        <v>15</v>
      </c>
      <c r="E20" s="72" t="s">
        <v>98</v>
      </c>
      <c r="F20" s="66"/>
      <c r="G20" s="58"/>
    </row>
    <row r="21" spans="1:7" ht="22" x14ac:dyDescent="0.25">
      <c r="A21" s="99"/>
      <c r="B21" s="98"/>
      <c r="C21" s="43" t="s">
        <v>26</v>
      </c>
      <c r="D21" s="20" t="s">
        <v>15</v>
      </c>
      <c r="E21" s="72" t="s">
        <v>98</v>
      </c>
      <c r="F21" s="66"/>
      <c r="G21" s="58"/>
    </row>
    <row r="22" spans="1:7" ht="22" x14ac:dyDescent="0.25">
      <c r="A22" s="99"/>
      <c r="B22" s="98"/>
      <c r="C22" s="43" t="s">
        <v>27</v>
      </c>
      <c r="D22" s="20" t="s">
        <v>18</v>
      </c>
      <c r="E22" s="72" t="s">
        <v>98</v>
      </c>
      <c r="F22" s="66"/>
      <c r="G22" s="58"/>
    </row>
    <row r="23" spans="1:7" ht="22" x14ac:dyDescent="0.25">
      <c r="A23" s="99"/>
      <c r="B23" s="98" t="s">
        <v>28</v>
      </c>
      <c r="C23" s="43" t="s">
        <v>29</v>
      </c>
      <c r="D23" s="20" t="s">
        <v>9</v>
      </c>
      <c r="E23" s="72" t="s">
        <v>98</v>
      </c>
      <c r="F23" s="66"/>
      <c r="G23" s="58"/>
    </row>
    <row r="24" spans="1:7" ht="22" x14ac:dyDescent="0.25">
      <c r="A24" s="99"/>
      <c r="B24" s="98"/>
      <c r="C24" s="43" t="s">
        <v>30</v>
      </c>
      <c r="D24" s="20" t="s">
        <v>9</v>
      </c>
      <c r="E24" s="72" t="s">
        <v>98</v>
      </c>
      <c r="F24" s="66"/>
      <c r="G24" s="58"/>
    </row>
    <row r="25" spans="1:7" ht="22" x14ac:dyDescent="0.25">
      <c r="A25" s="99"/>
      <c r="B25" s="98"/>
      <c r="C25" s="43" t="s">
        <v>31</v>
      </c>
      <c r="D25" s="20" t="s">
        <v>15</v>
      </c>
      <c r="E25" s="72" t="s">
        <v>98</v>
      </c>
      <c r="F25" s="66"/>
      <c r="G25" s="58"/>
    </row>
    <row r="26" spans="1:7" ht="22" x14ac:dyDescent="0.25">
      <c r="A26" s="99"/>
      <c r="B26" s="98"/>
      <c r="C26" s="43" t="s">
        <v>32</v>
      </c>
      <c r="D26" s="20" t="s">
        <v>15</v>
      </c>
      <c r="E26" s="72" t="s">
        <v>98</v>
      </c>
      <c r="F26" s="66"/>
      <c r="G26" s="58"/>
    </row>
    <row r="27" spans="1:7" ht="22" x14ac:dyDescent="0.25">
      <c r="A27" s="99"/>
      <c r="B27" s="98"/>
      <c r="C27" s="43" t="s">
        <v>33</v>
      </c>
      <c r="D27" s="20" t="s">
        <v>15</v>
      </c>
      <c r="E27" s="72" t="s">
        <v>98</v>
      </c>
      <c r="F27" s="66"/>
      <c r="G27" s="58"/>
    </row>
    <row r="28" spans="1:7" ht="22" x14ac:dyDescent="0.25">
      <c r="A28" s="99"/>
      <c r="B28" s="98"/>
      <c r="C28" s="43" t="s">
        <v>34</v>
      </c>
      <c r="D28" s="20" t="s">
        <v>18</v>
      </c>
      <c r="E28" s="72" t="s">
        <v>98</v>
      </c>
      <c r="F28" s="66"/>
      <c r="G28" s="58"/>
    </row>
    <row r="29" spans="1:7" ht="22" x14ac:dyDescent="0.25">
      <c r="A29" s="99"/>
      <c r="B29" s="98"/>
      <c r="C29" s="43" t="s">
        <v>35</v>
      </c>
      <c r="D29" s="20" t="s">
        <v>18</v>
      </c>
      <c r="E29" s="72" t="s">
        <v>98</v>
      </c>
      <c r="F29" s="66"/>
      <c r="G29" s="58"/>
    </row>
    <row r="30" spans="1:7" ht="22" x14ac:dyDescent="0.25">
      <c r="A30" s="99"/>
      <c r="B30" s="98"/>
      <c r="C30" s="43" t="s">
        <v>36</v>
      </c>
      <c r="D30" s="20" t="s">
        <v>18</v>
      </c>
      <c r="E30" s="72" t="s">
        <v>98</v>
      </c>
      <c r="F30" s="66"/>
      <c r="G30" s="58"/>
    </row>
    <row r="31" spans="1:7" ht="22" x14ac:dyDescent="0.25">
      <c r="A31" s="99"/>
      <c r="B31" s="98"/>
      <c r="C31" s="43" t="s">
        <v>37</v>
      </c>
      <c r="D31" s="20" t="s">
        <v>18</v>
      </c>
      <c r="E31" s="72" t="s">
        <v>98</v>
      </c>
      <c r="F31" s="66"/>
      <c r="G31" s="58"/>
    </row>
    <row r="32" spans="1:7" ht="22" x14ac:dyDescent="0.25">
      <c r="A32" s="99"/>
      <c r="B32" s="98"/>
      <c r="C32" s="43" t="s">
        <v>38</v>
      </c>
      <c r="D32" s="20" t="s">
        <v>15</v>
      </c>
      <c r="E32" s="72" t="s">
        <v>98</v>
      </c>
      <c r="F32" s="66"/>
      <c r="G32" s="58"/>
    </row>
    <row r="33" spans="1:7" ht="22" x14ac:dyDescent="0.25">
      <c r="A33" s="99"/>
      <c r="B33" s="98"/>
      <c r="C33" s="43" t="s">
        <v>39</v>
      </c>
      <c r="D33" s="20" t="s">
        <v>15</v>
      </c>
      <c r="E33" s="72" t="s">
        <v>98</v>
      </c>
      <c r="F33" s="66"/>
      <c r="G33" s="58"/>
    </row>
    <row r="34" spans="1:7" ht="22" x14ac:dyDescent="0.25">
      <c r="A34" s="99"/>
      <c r="B34" s="98"/>
      <c r="C34" s="43" t="s">
        <v>182</v>
      </c>
      <c r="D34" s="20" t="s">
        <v>15</v>
      </c>
      <c r="E34" s="72" t="s">
        <v>98</v>
      </c>
      <c r="F34" s="66"/>
      <c r="G34" s="58"/>
    </row>
    <row r="35" spans="1:7" ht="22" x14ac:dyDescent="0.25">
      <c r="A35" s="99"/>
      <c r="B35" s="98"/>
      <c r="C35" s="43" t="s">
        <v>40</v>
      </c>
      <c r="D35" s="20" t="s">
        <v>15</v>
      </c>
      <c r="E35" s="72" t="s">
        <v>98</v>
      </c>
      <c r="F35" s="66"/>
      <c r="G35" s="58"/>
    </row>
    <row r="36" spans="1:7" ht="22" x14ac:dyDescent="0.25">
      <c r="A36" s="99" t="s">
        <v>105</v>
      </c>
      <c r="B36" s="98" t="s">
        <v>41</v>
      </c>
      <c r="C36" s="43" t="s">
        <v>42</v>
      </c>
      <c r="D36" s="20" t="s">
        <v>9</v>
      </c>
      <c r="E36" s="72" t="s">
        <v>98</v>
      </c>
      <c r="F36" s="66"/>
      <c r="G36" s="58"/>
    </row>
    <row r="37" spans="1:7" ht="22" x14ac:dyDescent="0.25">
      <c r="A37" s="99"/>
      <c r="B37" s="98"/>
      <c r="C37" s="43" t="s">
        <v>43</v>
      </c>
      <c r="D37" s="20" t="s">
        <v>9</v>
      </c>
      <c r="E37" s="72" t="s">
        <v>98</v>
      </c>
      <c r="F37" s="66"/>
      <c r="G37" s="58"/>
    </row>
    <row r="38" spans="1:7" ht="22" x14ac:dyDescent="0.25">
      <c r="A38" s="99"/>
      <c r="B38" s="98"/>
      <c r="C38" s="43" t="s">
        <v>44</v>
      </c>
      <c r="D38" s="20" t="s">
        <v>18</v>
      </c>
      <c r="E38" s="72" t="s">
        <v>98</v>
      </c>
      <c r="F38" s="66"/>
      <c r="G38" s="58"/>
    </row>
    <row r="39" spans="1:7" ht="22" x14ac:dyDescent="0.25">
      <c r="A39" s="99"/>
      <c r="B39" s="98"/>
      <c r="C39" s="43" t="s">
        <v>45</v>
      </c>
      <c r="D39" s="20" t="s">
        <v>9</v>
      </c>
      <c r="E39" s="72" t="s">
        <v>98</v>
      </c>
      <c r="F39" s="66"/>
      <c r="G39" s="58"/>
    </row>
    <row r="40" spans="1:7" ht="22" x14ac:dyDescent="0.25">
      <c r="A40" s="99"/>
      <c r="B40" s="98" t="s">
        <v>46</v>
      </c>
      <c r="C40" s="43" t="s">
        <v>47</v>
      </c>
      <c r="D40" s="20" t="s">
        <v>9</v>
      </c>
      <c r="E40" s="72" t="s">
        <v>98</v>
      </c>
      <c r="F40" s="66"/>
      <c r="G40" s="58"/>
    </row>
    <row r="41" spans="1:7" ht="22" x14ac:dyDescent="0.25">
      <c r="A41" s="99"/>
      <c r="B41" s="98"/>
      <c r="C41" s="43" t="s">
        <v>48</v>
      </c>
      <c r="D41" s="20" t="s">
        <v>9</v>
      </c>
      <c r="E41" s="72" t="s">
        <v>98</v>
      </c>
      <c r="F41" s="66"/>
      <c r="G41" s="58"/>
    </row>
    <row r="42" spans="1:7" ht="22" x14ac:dyDescent="0.25">
      <c r="A42" s="99"/>
      <c r="B42" s="98"/>
      <c r="C42" s="43" t="s">
        <v>49</v>
      </c>
      <c r="D42" s="20" t="s">
        <v>18</v>
      </c>
      <c r="E42" s="72" t="s">
        <v>98</v>
      </c>
      <c r="F42" s="66"/>
      <c r="G42" s="58"/>
    </row>
    <row r="43" spans="1:7" ht="22" x14ac:dyDescent="0.25">
      <c r="A43" s="99"/>
      <c r="B43" s="98"/>
      <c r="C43" s="43" t="s">
        <v>50</v>
      </c>
      <c r="D43" s="20" t="s">
        <v>18</v>
      </c>
      <c r="E43" s="72" t="s">
        <v>98</v>
      </c>
      <c r="F43" s="66"/>
      <c r="G43" s="58"/>
    </row>
    <row r="44" spans="1:7" ht="22" x14ac:dyDescent="0.25">
      <c r="A44" s="99"/>
      <c r="B44" s="98"/>
      <c r="C44" s="43" t="s">
        <v>51</v>
      </c>
      <c r="D44" s="20" t="s">
        <v>18</v>
      </c>
      <c r="E44" s="72" t="s">
        <v>98</v>
      </c>
      <c r="F44" s="66"/>
      <c r="G44" s="58"/>
    </row>
    <row r="45" spans="1:7" ht="22" x14ac:dyDescent="0.25">
      <c r="A45" s="99"/>
      <c r="B45" s="98"/>
      <c r="C45" s="43" t="s">
        <v>52</v>
      </c>
      <c r="D45" s="20" t="s">
        <v>18</v>
      </c>
      <c r="E45" s="72" t="s">
        <v>98</v>
      </c>
      <c r="F45" s="66"/>
      <c r="G45" s="58"/>
    </row>
    <row r="46" spans="1:7" ht="22" x14ac:dyDescent="0.25">
      <c r="A46" s="99"/>
      <c r="B46" s="98" t="s">
        <v>53</v>
      </c>
      <c r="C46" s="43" t="s">
        <v>54</v>
      </c>
      <c r="D46" s="20" t="s">
        <v>9</v>
      </c>
      <c r="E46" s="72" t="s">
        <v>98</v>
      </c>
      <c r="F46" s="66"/>
      <c r="G46" s="58"/>
    </row>
    <row r="47" spans="1:7" ht="22" x14ac:dyDescent="0.25">
      <c r="A47" s="99"/>
      <c r="B47" s="98"/>
      <c r="C47" s="43" t="s">
        <v>55</v>
      </c>
      <c r="D47" s="20" t="s">
        <v>18</v>
      </c>
      <c r="E47" s="72" t="s">
        <v>98</v>
      </c>
      <c r="F47" s="66"/>
      <c r="G47" s="58"/>
    </row>
    <row r="48" spans="1:7" ht="22" x14ac:dyDescent="0.25">
      <c r="A48" s="99"/>
      <c r="B48" s="98"/>
      <c r="C48" s="43" t="s">
        <v>56</v>
      </c>
      <c r="D48" s="20" t="s">
        <v>18</v>
      </c>
      <c r="E48" s="72" t="s">
        <v>98</v>
      </c>
      <c r="F48" s="66"/>
      <c r="G48" s="58"/>
    </row>
    <row r="49" spans="1:7" ht="22" x14ac:dyDescent="0.25">
      <c r="A49" s="99"/>
      <c r="B49" s="98" t="s">
        <v>57</v>
      </c>
      <c r="C49" s="43" t="s">
        <v>58</v>
      </c>
      <c r="D49" s="20" t="s">
        <v>9</v>
      </c>
      <c r="E49" s="72" t="s">
        <v>98</v>
      </c>
      <c r="F49" s="66"/>
      <c r="G49" s="58"/>
    </row>
    <row r="50" spans="1:7" ht="22" x14ac:dyDescent="0.25">
      <c r="A50" s="99"/>
      <c r="B50" s="98"/>
      <c r="C50" s="43" t="s">
        <v>59</v>
      </c>
      <c r="D50" s="20" t="s">
        <v>9</v>
      </c>
      <c r="E50" s="72" t="s">
        <v>98</v>
      </c>
      <c r="F50" s="66"/>
      <c r="G50" s="58"/>
    </row>
    <row r="51" spans="1:7" ht="22" x14ac:dyDescent="0.25">
      <c r="A51" s="99"/>
      <c r="B51" s="98"/>
      <c r="C51" s="43" t="s">
        <v>60</v>
      </c>
      <c r="D51" s="20" t="s">
        <v>9</v>
      </c>
      <c r="E51" s="72" t="s">
        <v>98</v>
      </c>
      <c r="F51" s="66"/>
      <c r="G51" s="58"/>
    </row>
    <row r="52" spans="1:7" ht="22" x14ac:dyDescent="0.25">
      <c r="A52" s="99"/>
      <c r="B52" s="98"/>
      <c r="C52" s="43" t="s">
        <v>61</v>
      </c>
      <c r="D52" s="20" t="s">
        <v>9</v>
      </c>
      <c r="E52" s="72" t="s">
        <v>98</v>
      </c>
      <c r="F52" s="66"/>
      <c r="G52" s="58"/>
    </row>
    <row r="53" spans="1:7" ht="22" x14ac:dyDescent="0.25">
      <c r="A53" s="99"/>
      <c r="B53" s="98"/>
      <c r="C53" s="43" t="s">
        <v>62</v>
      </c>
      <c r="D53" s="20" t="s">
        <v>15</v>
      </c>
      <c r="E53" s="72" t="s">
        <v>98</v>
      </c>
      <c r="F53" s="66"/>
      <c r="G53" s="58"/>
    </row>
    <row r="54" spans="1:7" ht="22" x14ac:dyDescent="0.25">
      <c r="A54" s="99"/>
      <c r="B54" s="98"/>
      <c r="C54" s="43" t="s">
        <v>63</v>
      </c>
      <c r="D54" s="20" t="s">
        <v>15</v>
      </c>
      <c r="E54" s="72" t="s">
        <v>98</v>
      </c>
      <c r="F54" s="66"/>
      <c r="G54" s="58"/>
    </row>
    <row r="55" spans="1:7" ht="22" x14ac:dyDescent="0.25">
      <c r="A55" s="99"/>
      <c r="B55" s="98"/>
      <c r="C55" s="43" t="s">
        <v>64</v>
      </c>
      <c r="D55" s="20" t="s">
        <v>15</v>
      </c>
      <c r="E55" s="72" t="s">
        <v>98</v>
      </c>
      <c r="F55" s="66"/>
      <c r="G55" s="58"/>
    </row>
    <row r="56" spans="1:7" ht="22" x14ac:dyDescent="0.25">
      <c r="A56" s="99"/>
      <c r="B56" s="98"/>
      <c r="C56" s="43" t="s">
        <v>65</v>
      </c>
      <c r="D56" s="20" t="s">
        <v>18</v>
      </c>
      <c r="E56" s="72" t="s">
        <v>98</v>
      </c>
      <c r="F56" s="66"/>
      <c r="G56" s="58"/>
    </row>
    <row r="57" spans="1:7" ht="22" x14ac:dyDescent="0.25">
      <c r="A57" s="99"/>
      <c r="B57" s="98"/>
      <c r="C57" s="43" t="s">
        <v>66</v>
      </c>
      <c r="D57" s="20" t="s">
        <v>18</v>
      </c>
      <c r="E57" s="72" t="s">
        <v>98</v>
      </c>
      <c r="F57" s="66"/>
      <c r="G57" s="58"/>
    </row>
    <row r="58" spans="1:7" ht="22" x14ac:dyDescent="0.25">
      <c r="A58" s="99"/>
      <c r="B58" s="98"/>
      <c r="C58" s="43" t="s">
        <v>67</v>
      </c>
      <c r="D58" s="20" t="s">
        <v>18</v>
      </c>
      <c r="E58" s="72" t="s">
        <v>98</v>
      </c>
      <c r="F58" s="66"/>
      <c r="G58" s="58"/>
    </row>
    <row r="59" spans="1:7" ht="22" x14ac:dyDescent="0.25">
      <c r="A59" s="99"/>
      <c r="B59" s="98" t="s">
        <v>68</v>
      </c>
      <c r="C59" s="43" t="s">
        <v>69</v>
      </c>
      <c r="D59" s="20" t="s">
        <v>9</v>
      </c>
      <c r="E59" s="72" t="s">
        <v>98</v>
      </c>
      <c r="F59" s="66"/>
      <c r="G59" s="58"/>
    </row>
    <row r="60" spans="1:7" ht="22" x14ac:dyDescent="0.25">
      <c r="A60" s="99"/>
      <c r="B60" s="98"/>
      <c r="C60" s="43" t="s">
        <v>70</v>
      </c>
      <c r="D60" s="20" t="s">
        <v>9</v>
      </c>
      <c r="E60" s="72" t="s">
        <v>98</v>
      </c>
      <c r="F60" s="66"/>
      <c r="G60" s="58"/>
    </row>
    <row r="61" spans="1:7" ht="22" x14ac:dyDescent="0.25">
      <c r="A61" s="99"/>
      <c r="B61" s="98"/>
      <c r="C61" s="43" t="s">
        <v>71</v>
      </c>
      <c r="D61" s="20" t="s">
        <v>9</v>
      </c>
      <c r="E61" s="72" t="s">
        <v>98</v>
      </c>
      <c r="F61" s="66"/>
      <c r="G61" s="58"/>
    </row>
    <row r="62" spans="1:7" ht="22" x14ac:dyDescent="0.25">
      <c r="A62" s="99"/>
      <c r="B62" s="98"/>
      <c r="C62" s="43" t="s">
        <v>72</v>
      </c>
      <c r="D62" s="20" t="s">
        <v>9</v>
      </c>
      <c r="E62" s="72" t="s">
        <v>98</v>
      </c>
      <c r="F62" s="66"/>
      <c r="G62" s="58"/>
    </row>
    <row r="63" spans="1:7" ht="22" x14ac:dyDescent="0.25">
      <c r="A63" s="99"/>
      <c r="B63" s="98"/>
      <c r="C63" s="43" t="s">
        <v>73</v>
      </c>
      <c r="D63" s="20" t="s">
        <v>18</v>
      </c>
      <c r="E63" s="72" t="s">
        <v>98</v>
      </c>
      <c r="F63" s="66"/>
      <c r="G63" s="58"/>
    </row>
    <row r="64" spans="1:7" ht="22" x14ac:dyDescent="0.25">
      <c r="A64" s="99"/>
      <c r="B64" s="98"/>
      <c r="C64" s="43" t="s">
        <v>74</v>
      </c>
      <c r="D64" s="20" t="s">
        <v>18</v>
      </c>
      <c r="E64" s="72" t="s">
        <v>98</v>
      </c>
      <c r="F64" s="66"/>
      <c r="G64" s="58"/>
    </row>
    <row r="65" spans="1:7" ht="22" x14ac:dyDescent="0.25">
      <c r="A65" s="99" t="s">
        <v>106</v>
      </c>
      <c r="B65" s="98" t="s">
        <v>75</v>
      </c>
      <c r="C65" s="43" t="s">
        <v>76</v>
      </c>
      <c r="D65" s="20" t="s">
        <v>9</v>
      </c>
      <c r="E65" s="72" t="s">
        <v>98</v>
      </c>
      <c r="F65" s="66"/>
      <c r="G65" s="58"/>
    </row>
    <row r="66" spans="1:7" ht="22" x14ac:dyDescent="0.25">
      <c r="A66" s="99"/>
      <c r="B66" s="98"/>
      <c r="C66" s="43" t="s">
        <v>77</v>
      </c>
      <c r="D66" s="20" t="s">
        <v>15</v>
      </c>
      <c r="E66" s="72" t="s">
        <v>98</v>
      </c>
      <c r="F66" s="66"/>
      <c r="G66" s="58"/>
    </row>
    <row r="67" spans="1:7" ht="22" x14ac:dyDescent="0.25">
      <c r="A67" s="99"/>
      <c r="B67" s="98"/>
      <c r="C67" s="43" t="s">
        <v>78</v>
      </c>
      <c r="D67" s="20" t="s">
        <v>18</v>
      </c>
      <c r="E67" s="72" t="s">
        <v>98</v>
      </c>
      <c r="F67" s="66"/>
      <c r="G67" s="58"/>
    </row>
    <row r="68" spans="1:7" ht="22" x14ac:dyDescent="0.25">
      <c r="A68" s="99"/>
      <c r="B68" s="98"/>
      <c r="C68" s="43" t="s">
        <v>79</v>
      </c>
      <c r="D68" s="20" t="s">
        <v>18</v>
      </c>
      <c r="E68" s="72" t="s">
        <v>98</v>
      </c>
      <c r="F68" s="66"/>
      <c r="G68" s="58"/>
    </row>
    <row r="69" spans="1:7" ht="22" x14ac:dyDescent="0.25">
      <c r="A69" s="99"/>
      <c r="B69" s="98"/>
      <c r="C69" s="43" t="s">
        <v>80</v>
      </c>
      <c r="D69" s="20" t="s">
        <v>18</v>
      </c>
      <c r="E69" s="72" t="s">
        <v>98</v>
      </c>
      <c r="F69" s="66"/>
      <c r="G69" s="58"/>
    </row>
    <row r="70" spans="1:7" ht="22" x14ac:dyDescent="0.25">
      <c r="A70" s="99"/>
      <c r="B70" s="98"/>
      <c r="C70" s="43" t="s">
        <v>81</v>
      </c>
      <c r="D70" s="20" t="s">
        <v>18</v>
      </c>
      <c r="E70" s="72" t="s">
        <v>98</v>
      </c>
      <c r="F70" s="66"/>
      <c r="G70" s="58"/>
    </row>
    <row r="71" spans="1:7" ht="22" x14ac:dyDescent="0.25">
      <c r="A71" s="99"/>
      <c r="B71" s="98" t="s">
        <v>82</v>
      </c>
      <c r="C71" s="43" t="s">
        <v>83</v>
      </c>
      <c r="D71" s="20" t="s">
        <v>9</v>
      </c>
      <c r="E71" s="72" t="s">
        <v>98</v>
      </c>
      <c r="F71" s="66"/>
      <c r="G71" s="58"/>
    </row>
    <row r="72" spans="1:7" ht="22" x14ac:dyDescent="0.25">
      <c r="A72" s="99"/>
      <c r="B72" s="98"/>
      <c r="C72" s="43" t="s">
        <v>84</v>
      </c>
      <c r="D72" s="20" t="s">
        <v>9</v>
      </c>
      <c r="E72" s="72" t="s">
        <v>98</v>
      </c>
      <c r="F72" s="66"/>
      <c r="G72" s="58"/>
    </row>
    <row r="73" spans="1:7" ht="22" x14ac:dyDescent="0.25">
      <c r="A73" s="99"/>
      <c r="B73" s="98"/>
      <c r="C73" s="43" t="s">
        <v>85</v>
      </c>
      <c r="D73" s="20" t="s">
        <v>15</v>
      </c>
      <c r="E73" s="72" t="s">
        <v>98</v>
      </c>
      <c r="F73" s="66"/>
      <c r="G73" s="58"/>
    </row>
    <row r="74" spans="1:7" ht="22" x14ac:dyDescent="0.25">
      <c r="A74" s="99"/>
      <c r="B74" s="98"/>
      <c r="C74" s="43" t="s">
        <v>86</v>
      </c>
      <c r="D74" s="20" t="s">
        <v>15</v>
      </c>
      <c r="E74" s="72" t="s">
        <v>98</v>
      </c>
      <c r="F74" s="66"/>
      <c r="G74" s="58"/>
    </row>
    <row r="75" spans="1:7" ht="22" x14ac:dyDescent="0.25">
      <c r="A75" s="99"/>
      <c r="B75" s="98"/>
      <c r="C75" s="43" t="s">
        <v>87</v>
      </c>
      <c r="D75" s="20" t="s">
        <v>18</v>
      </c>
      <c r="E75" s="72" t="s">
        <v>98</v>
      </c>
      <c r="F75" s="66"/>
      <c r="G75" s="58"/>
    </row>
    <row r="76" spans="1:7" ht="22" x14ac:dyDescent="0.25">
      <c r="A76" s="99"/>
      <c r="B76" s="98" t="s">
        <v>88</v>
      </c>
      <c r="C76" s="43" t="s">
        <v>89</v>
      </c>
      <c r="D76" s="20" t="s">
        <v>9</v>
      </c>
      <c r="E76" s="72" t="s">
        <v>98</v>
      </c>
      <c r="F76" s="66"/>
      <c r="G76" s="58"/>
    </row>
    <row r="77" spans="1:7" ht="22" x14ac:dyDescent="0.25">
      <c r="A77" s="99"/>
      <c r="B77" s="98"/>
      <c r="C77" s="43" t="s">
        <v>90</v>
      </c>
      <c r="D77" s="20" t="s">
        <v>9</v>
      </c>
      <c r="E77" s="72" t="s">
        <v>98</v>
      </c>
      <c r="F77" s="66"/>
      <c r="G77" s="58"/>
    </row>
    <row r="78" spans="1:7" ht="22" x14ac:dyDescent="0.25">
      <c r="A78" s="99"/>
      <c r="B78" s="98"/>
      <c r="C78" s="43" t="s">
        <v>183</v>
      </c>
      <c r="D78" s="20" t="s">
        <v>15</v>
      </c>
      <c r="E78" s="72" t="s">
        <v>98</v>
      </c>
      <c r="F78" s="66"/>
      <c r="G78" s="58"/>
    </row>
    <row r="79" spans="1:7" ht="22" x14ac:dyDescent="0.25">
      <c r="A79" s="99"/>
      <c r="B79" s="98"/>
      <c r="C79" s="43" t="s">
        <v>91</v>
      </c>
      <c r="D79" s="20" t="s">
        <v>15</v>
      </c>
      <c r="E79" s="72" t="s">
        <v>98</v>
      </c>
      <c r="F79" s="66"/>
      <c r="G79" s="58"/>
    </row>
    <row r="80" spans="1:7" ht="22" x14ac:dyDescent="0.25">
      <c r="A80" s="99"/>
      <c r="B80" s="98"/>
      <c r="C80" s="43" t="s">
        <v>92</v>
      </c>
      <c r="D80" s="20" t="s">
        <v>18</v>
      </c>
      <c r="E80" s="72" t="s">
        <v>98</v>
      </c>
      <c r="F80" s="66"/>
      <c r="G80" s="58"/>
    </row>
    <row r="81" spans="1:7" ht="22" x14ac:dyDescent="0.25">
      <c r="A81" s="99"/>
      <c r="B81" s="98"/>
      <c r="C81" s="43" t="s">
        <v>93</v>
      </c>
      <c r="D81" s="20" t="s">
        <v>18</v>
      </c>
      <c r="E81" s="72" t="s">
        <v>98</v>
      </c>
      <c r="F81" s="66"/>
      <c r="G81" s="58"/>
    </row>
    <row r="82" spans="1:7" ht="22" x14ac:dyDescent="0.25">
      <c r="A82" s="99" t="s">
        <v>107</v>
      </c>
      <c r="B82" s="98" t="s">
        <v>94</v>
      </c>
      <c r="C82" s="43" t="s">
        <v>95</v>
      </c>
      <c r="D82" s="20" t="s">
        <v>9</v>
      </c>
      <c r="E82" s="72" t="s">
        <v>98</v>
      </c>
      <c r="F82" s="66"/>
      <c r="G82" s="58"/>
    </row>
    <row r="83" spans="1:7" ht="22" x14ac:dyDescent="0.25">
      <c r="A83" s="99"/>
      <c r="B83" s="98"/>
      <c r="C83" s="43" t="s">
        <v>96</v>
      </c>
      <c r="D83" s="20" t="s">
        <v>9</v>
      </c>
      <c r="E83" s="72" t="s">
        <v>98</v>
      </c>
      <c r="F83" s="66"/>
      <c r="G83" s="58"/>
    </row>
    <row r="84" spans="1:7" ht="23" thickBot="1" x14ac:dyDescent="0.3">
      <c r="A84" s="99"/>
      <c r="B84" s="98"/>
      <c r="C84" s="43" t="s">
        <v>97</v>
      </c>
      <c r="D84" s="20" t="s">
        <v>15</v>
      </c>
      <c r="E84" s="38" t="s">
        <v>98</v>
      </c>
      <c r="F84" s="67"/>
      <c r="G84" s="59"/>
    </row>
    <row r="85" spans="1:7" ht="25" customHeight="1" thickTop="1" x14ac:dyDescent="0.25"/>
  </sheetData>
  <sheetProtection sheet="1" formatRows="0" autoFilter="0"/>
  <autoFilter ref="B6:G84" xr:uid="{63CD72FD-54DD-BE4A-BF97-BA2A2D19622F}"/>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G3:G4"/>
    <mergeCell ref="A1:C1"/>
  </mergeCells>
  <conditionalFormatting sqref="E7:F84">
    <cfRule type="containsText" dxfId="4" priority="2" operator="containsText" text="Cannot tell">
      <formula>NOT(ISERROR(SEARCH("Cannot tell",E7)))</formula>
    </cfRule>
    <cfRule type="containsText" dxfId="3" priority="3" operator="containsText" text="Not present">
      <formula>NOT(ISERROR(SEARCH("Not present",E7)))</formula>
    </cfRule>
    <cfRule type="containsText" dxfId="2" priority="4" operator="containsText" text="Conforms">
      <formula>NOT(ISERROR(SEARCH("Conforms",E7)))</formula>
    </cfRule>
    <cfRule type="containsText" dxfId="1" priority="5" operator="containsText" text="Does not conform">
      <formula>NOT(ISERROR(SEARCH("Does not conform",E7)))</formula>
    </cfRule>
    <cfRule type="containsText" dxfId="0" priority="1" operator="containsText" text="Partially conforms">
      <formula>NOT(ISERROR(SEARCH("Partially conforms",E7)))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7" r:id="rId3" location="non-text-content" xr:uid="{71F4453B-02BD-A94F-B3D9-E4568682B130}"/>
    <hyperlink ref="C8" r:id="rId4" location="audio-only-and-video-only-prerecorded" xr:uid="{0784198C-B50E-A24B-9597-F573593A981E}"/>
    <hyperlink ref="C9" r:id="rId5" location="captions-prerecorded" xr:uid="{E6C72440-1CD5-C546-97ED-1CC52CA38BD3}"/>
    <hyperlink ref="C10" r:id="rId6" location="audio-description-or-media-alternative-prerecorded" xr:uid="{58CDBF4C-AC1D-9647-BA79-7544289152D4}"/>
    <hyperlink ref="C11" r:id="rId7" location="captions-live" xr:uid="{0A30C707-6CFB-A546-8D17-9FD1C76D7126}"/>
    <hyperlink ref="C12" r:id="rId8" location="audio-description-prerecorded" xr:uid="{E27B5A62-008E-8A4C-8943-95D2DB06B732}"/>
    <hyperlink ref="C13" r:id="rId9" location="sign-language-prerecorded" xr:uid="{5259AF45-DB9B-2B4F-B9AA-68D7DEEA6746}"/>
    <hyperlink ref="C14" r:id="rId10" location="extended-audio-description-prerecorded" display="1.2.7 Extended Audio Description (Prerecorded" xr:uid="{DFC2A7C8-1712-BE48-816A-AC2FA8C9DBDB}"/>
    <hyperlink ref="C15" r:id="rId11" location="media-alternative-prerecorded" xr:uid="{51F39B92-6B2B-3945-B177-AD8E67B0CC31}"/>
    <hyperlink ref="C16" r:id="rId12" location="audio-only-live" xr:uid="{EB488AE8-19C3-7648-99AA-9A464A6685C2}"/>
    <hyperlink ref="C17" r:id="rId13" location="info-and-relationships" xr:uid="{F7EAB545-B324-8148-90F3-27600221359D}"/>
    <hyperlink ref="C18" r:id="rId14" location="meaningful-sequence" xr:uid="{AAF43A67-CC91-F643-9451-F03F5C18DCBD}"/>
    <hyperlink ref="C19" r:id="rId15" location="sensory-characteristics" xr:uid="{0BCF8420-B5E5-C442-AC65-C3DEF8780CF6}"/>
    <hyperlink ref="C20" r:id="rId16" location="orientation" xr:uid="{71211528-6F6B-A240-BC14-FC4299AFE89D}"/>
    <hyperlink ref="C21" r:id="rId17" location="identify-input-purpose" xr:uid="{DAF03401-1192-B743-927F-418F50792954}"/>
    <hyperlink ref="C22" r:id="rId18" location="identify-purpose" xr:uid="{5EA02FAE-7AEB-4848-9429-971273FA95A5}"/>
    <hyperlink ref="C23" r:id="rId19" location="use-of-color" xr:uid="{F7A72124-12FA-C744-B8F0-6299F1BA16A3}"/>
    <hyperlink ref="C24" r:id="rId20" location="audio-control" xr:uid="{1402CDE6-BCC8-9B44-ADBC-9FD1E17D2B89}"/>
    <hyperlink ref="C25" r:id="rId21" location="contrast-minimum" xr:uid="{3A574161-3C87-9C40-BDA3-C2C4A45CE74F}"/>
    <hyperlink ref="C26" r:id="rId22" location="resize-text" xr:uid="{9D904ABC-2BE6-254F-9491-B3291DB8A3A3}"/>
    <hyperlink ref="C27" r:id="rId23" location="images-of-text" xr:uid="{77BECFC0-EBE3-FA46-8427-5399727AC058}"/>
    <hyperlink ref="C28" r:id="rId24" location="contrast-enhanced" xr:uid="{034C2B9B-1843-4043-9311-023EAE0C9918}"/>
    <hyperlink ref="C29" r:id="rId25" location="low-or-no-background-audio" xr:uid="{8BCDD7E6-7D4B-EE4D-9083-986388A04043}"/>
    <hyperlink ref="C30" r:id="rId26" location="visual-presentation" xr:uid="{A376E782-BDFF-944F-8135-B5AF262AF6AE}"/>
    <hyperlink ref="C31" r:id="rId27" location="images-of-text-no-exception" xr:uid="{20B68B32-E2A8-4E4E-A549-AC0D402DF84F}"/>
    <hyperlink ref="C32" r:id="rId28" location="reflow" xr:uid="{469E90EA-138B-ED45-BC16-CE00F6774E9D}"/>
    <hyperlink ref="C33" r:id="rId29" location="non-text-contrast" xr:uid="{F7DF055D-1124-0346-8531-9DFFD6806C4B}"/>
    <hyperlink ref="C34" r:id="rId30" location="text-spacing" xr:uid="{2ACE16BB-A1C7-B14F-8CBF-80EC1F499395}"/>
    <hyperlink ref="C35" r:id="rId31" location="content-on-hover-or-focus" xr:uid="{09ABA3E3-82B4-C240-A5E0-F148E68F9FEB}"/>
    <hyperlink ref="C36" r:id="rId32" location="keyboard" xr:uid="{7065533E-3047-A74B-85FA-8813FBAFCD1B}"/>
    <hyperlink ref="C37" r:id="rId33" location="no-keyboard-trap" xr:uid="{3D1F5151-40F1-FA4C-91E6-378C09796B8A}"/>
    <hyperlink ref="C38" r:id="rId34" location="keyboard-no-exception" xr:uid="{54568F94-CD0B-6545-AB0F-E8C1FA3F74E8}"/>
    <hyperlink ref="C39" r:id="rId35" location="character-key-shortcuts" xr:uid="{F80D9240-6EA1-6844-A181-6490786EF246}"/>
    <hyperlink ref="C40" r:id="rId36" location="timing-adjustable" xr:uid="{5757001A-CB30-B746-A016-BC049A253B31}"/>
    <hyperlink ref="C41" r:id="rId37" location="pause-stop-hide" xr:uid="{24BB36CE-8EC5-A84B-8D2A-E85DCA1F4236}"/>
    <hyperlink ref="C42" r:id="rId38" location="no-timing" xr:uid="{B721D41D-6482-D943-A66C-FDB5A61344C8}"/>
    <hyperlink ref="C43" r:id="rId39" location="interruptions" xr:uid="{836A9C55-B805-7640-A689-F5761D65C751}"/>
    <hyperlink ref="C44" r:id="rId40" location="re-authenticating" xr:uid="{C6C95028-1A3A-AE45-8586-BF3E7A40979C}"/>
    <hyperlink ref="C45" r:id="rId41" location="timeouts" xr:uid="{D9BB1F6F-A062-9547-824A-8209529B4CF8}"/>
    <hyperlink ref="C46" r:id="rId42" location="three-flashes-or-below-threshold" xr:uid="{E6756BD0-EA3B-D747-8457-C40917ABA94C}"/>
    <hyperlink ref="C47" r:id="rId43" location="three-flashes" xr:uid="{53184A73-1438-6542-BEF1-C9D3E17EA54D}"/>
    <hyperlink ref="C48" r:id="rId44" location="animation-from-interactions" xr:uid="{1B6ED0B7-6381-3F44-803D-2D7B3E201D5B}"/>
    <hyperlink ref="C49" r:id="rId45" location="bypass-blocks" xr:uid="{6FA2D22E-9079-0C45-A852-4904D0547CAC}"/>
    <hyperlink ref="C50" r:id="rId46" location="page-titled" xr:uid="{7095553A-6AB4-024D-ADBA-EE67C10D3859}"/>
    <hyperlink ref="C51" r:id="rId47" location="focus-order" xr:uid="{37F6959C-F822-D445-BF9D-A990BB72F95E}"/>
    <hyperlink ref="C52" r:id="rId48" location="link-purpose-in-context" xr:uid="{B0087318-95F1-8C46-B585-6A7EBB42C386}"/>
    <hyperlink ref="C53" r:id="rId49" location="multiple-ways" xr:uid="{FE0E442C-BC95-CD4B-A4EE-7C190C882908}"/>
    <hyperlink ref="C54" r:id="rId50" location="headings-and-labels" xr:uid="{565A796C-D29E-8C44-8A06-E1BCBB434DBB}"/>
    <hyperlink ref="C55" r:id="rId51" location="focus-visible" xr:uid="{BD1FE878-84E8-4C4B-8910-436636B34FD4}"/>
    <hyperlink ref="C56" r:id="rId52" location="location" xr:uid="{A1762960-DCD3-D44B-A4F7-3A20A650F337}"/>
    <hyperlink ref="C57" r:id="rId53" location="link-purpose-link-only" xr:uid="{B06D8DEC-07C7-6441-A1DB-54308C99CFA4}"/>
    <hyperlink ref="C58" r:id="rId54" location="section-headings" xr:uid="{B878282E-D085-9346-B13B-CAA3F6365651}"/>
    <hyperlink ref="C59" r:id="rId55" location="pointer-gestures" xr:uid="{739CF455-9307-9D44-AD4E-C0AEBBDEA9C7}"/>
    <hyperlink ref="C60" r:id="rId56" location="pointer-cancellation" xr:uid="{785AD825-06F7-CC4F-920D-B23DC806BC22}"/>
    <hyperlink ref="C61" r:id="rId57" location="label-in-name" xr:uid="{47E3FDF5-6474-A14A-9314-610D8581B2F8}"/>
    <hyperlink ref="C62" r:id="rId58" location="motion-actuation" xr:uid="{461A0FBA-94FD-1D49-B394-F9D0C28C40A3}"/>
    <hyperlink ref="C63" r:id="rId59" location="target-size" xr:uid="{FDE032F5-3316-CD41-8F5C-89BD42B59327}"/>
    <hyperlink ref="C64" r:id="rId60" location="concurrent-input-mechanisms" xr:uid="{5491D49C-9059-E842-8F3D-42B617D6A7DE}"/>
    <hyperlink ref="C65" r:id="rId61" location="language-of-page" xr:uid="{4D80D9D4-669B-7B4C-BC16-787A0C3DBD86}"/>
    <hyperlink ref="C66" r:id="rId62" location="language-of-parts" xr:uid="{9D274620-3BEC-3442-B734-17D95192E38A}"/>
    <hyperlink ref="C67" r:id="rId63" location="unusual-words" xr:uid="{966B6F9E-23D2-1A40-83A2-59C3218D0D3F}"/>
    <hyperlink ref="C68" r:id="rId64" location="abbreviations" xr:uid="{CC4FE0CF-5C19-684F-8375-A8CB5E471158}"/>
    <hyperlink ref="C69" r:id="rId65" location="reading-level" xr:uid="{8F0624D7-C68B-5D4B-AC48-934F2B0A8C4D}"/>
    <hyperlink ref="C70" r:id="rId66" location="pronunciation" xr:uid="{44501170-B7B2-0744-859E-64E4FFC53067}"/>
    <hyperlink ref="C71" r:id="rId67" location="on-focus" xr:uid="{1FCD68EA-3A9A-8A4A-97CD-D74AA56BB515}"/>
    <hyperlink ref="C72" r:id="rId68" location="on-input" xr:uid="{6E17669E-FD7E-7E41-8E03-360CA758E464}"/>
    <hyperlink ref="C73" r:id="rId69" location="consistent-navigation" xr:uid="{BB6C2FE1-CB52-654B-8E19-5BBB5FD48DFB}"/>
    <hyperlink ref="C74" r:id="rId70" location="consistent-identification" xr:uid="{CC3B1757-66D1-F741-BBF7-0736D425FC77}"/>
    <hyperlink ref="C75" r:id="rId71" location="change-on-request" xr:uid="{3C4E8F9E-825D-2346-852B-16AFC8C8280D}"/>
    <hyperlink ref="C76" r:id="rId72" location="error-identification" xr:uid="{0020AD76-3F07-1340-9086-8BB1AAC668D5}"/>
    <hyperlink ref="C77" r:id="rId73" location="labels-or-instructions" xr:uid="{1D4EAB6A-8668-1E4A-82EC-D2852C9293A4}"/>
    <hyperlink ref="C78" r:id="rId74" location="error-suggestion" xr:uid="{294681A5-2305-3446-9869-8700C10C4A77}"/>
    <hyperlink ref="C79" r:id="rId75" location="error-prevention-legal-financial-data" xr:uid="{4113F744-CD36-7744-BF9F-3E3C67F7299B}"/>
    <hyperlink ref="C80" r:id="rId76" location="help" xr:uid="{C6991EB3-BD0F-2D41-8425-7C490D8B4F11}"/>
    <hyperlink ref="C81" r:id="rId77" location="error-prevention-all" xr:uid="{A325250C-A4ED-564B-9898-1CDB14331ED9}"/>
    <hyperlink ref="C82" r:id="rId78" location="parsing" xr:uid="{7C167779-CBF6-8B4A-B508-0676F979D2E0}"/>
    <hyperlink ref="C83" r:id="rId79" location="name-role-value" xr:uid="{32F07303-267F-C845-9383-197DB294A736}"/>
    <hyperlink ref="C84"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'(data)'!$A$3:$A$8</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8"/>
  <sheetViews>
    <sheetView workbookViewId="0">
      <selection activeCell="A9" sqref="A9"/>
    </sheetView>
  </sheetViews>
  <sheetFormatPr baseColWidth="10" defaultRowHeight="21" x14ac:dyDescent="0.25"/>
  <cols>
    <col min="1" max="1" width="41" style="16" customWidth="1"/>
    <col min="2" max="16384" width="10.83203125" style="16"/>
  </cols>
  <sheetData>
    <row r="2" spans="1:1" x14ac:dyDescent="0.25">
      <c r="A2" s="17" t="s">
        <v>101</v>
      </c>
    </row>
    <row r="3" spans="1:1" x14ac:dyDescent="0.25">
      <c r="A3" s="16" t="s">
        <v>98</v>
      </c>
    </row>
    <row r="4" spans="1:1" x14ac:dyDescent="0.25">
      <c r="A4" s="16" t="s">
        <v>187</v>
      </c>
    </row>
    <row r="5" spans="1:1" x14ac:dyDescent="0.25">
      <c r="A5" s="16" t="s">
        <v>189</v>
      </c>
    </row>
    <row r="6" spans="1:1" x14ac:dyDescent="0.25">
      <c r="A6" s="16" t="s">
        <v>188</v>
      </c>
    </row>
    <row r="7" spans="1:1" x14ac:dyDescent="0.25">
      <c r="A7" s="16" t="s">
        <v>99</v>
      </c>
    </row>
    <row r="8" spans="1:1" x14ac:dyDescent="0.25">
      <c r="A8" s="16" t="s">
        <v>100</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2022-08-12T12:51:15Z</dcterms:modified>
</cp:coreProperties>
</file>